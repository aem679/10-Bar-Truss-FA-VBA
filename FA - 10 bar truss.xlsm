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shleymarshall/Documents/Year 4/MECH3890 Individual Project/"/>
    </mc:Choice>
  </mc:AlternateContent>
  <xr:revisionPtr revIDLastSave="0" documentId="13_ncr:1_{F01D03EF-57E0-8F44-B660-F66EEA4610A6}" xr6:coauthVersionLast="32" xr6:coauthVersionMax="32" xr10:uidLastSave="{00000000-0000-0000-0000-000000000000}"/>
  <bookViews>
    <workbookView xWindow="0" yWindow="460" windowWidth="25600" windowHeight="14180" tabRatio="500" xr2:uid="{00000000-000D-0000-FFFF-FFFF00000000}"/>
  </bookViews>
  <sheets>
    <sheet name="Home" sheetId="10" r:id="rId1"/>
    <sheet name="Multiruns" sheetId="28" r:id="rId2"/>
    <sheet name="Global Best" sheetId="16" r:id="rId3"/>
    <sheet name="Global Best Function" sheetId="27" r:id="rId4"/>
    <sheet name="Functions" sheetId="18" r:id="rId5"/>
    <sheet name="Best Position" sheetId="23" r:id="rId6"/>
    <sheet name="Worst Position" sheetId="24" r:id="rId7"/>
  </sheets>
  <calcPr calcId="179017" iterateCount="1000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95" i="10" l="1"/>
  <c r="U92" i="10"/>
  <c r="T80" i="10" l="1"/>
  <c r="T79" i="10"/>
  <c r="S78" i="10"/>
  <c r="S77" i="10"/>
  <c r="P78" i="10"/>
  <c r="P77" i="10"/>
  <c r="O78" i="10"/>
  <c r="O77" i="10"/>
  <c r="X59" i="10"/>
  <c r="X58" i="10"/>
  <c r="X57" i="10"/>
  <c r="X56" i="10"/>
  <c r="X55" i="10"/>
  <c r="X54" i="10"/>
  <c r="X53" i="10"/>
  <c r="X52" i="10"/>
  <c r="P17" i="10"/>
  <c r="P16" i="10"/>
  <c r="P15" i="10"/>
  <c r="P14" i="10"/>
  <c r="P13" i="10"/>
  <c r="P12" i="10"/>
  <c r="P11" i="10"/>
  <c r="P10" i="10"/>
  <c r="P9" i="10"/>
  <c r="P8" i="10"/>
  <c r="R12" i="10" l="1"/>
  <c r="AJ64" i="10" s="1"/>
  <c r="AI65" i="10" s="1"/>
  <c r="AK67" i="10" s="1"/>
  <c r="I6" i="10"/>
  <c r="AA77" i="10"/>
  <c r="I3" i="10"/>
  <c r="AA85" i="10"/>
  <c r="I11" i="10"/>
  <c r="S10" i="10"/>
  <c r="I4" i="10"/>
  <c r="R14" i="10"/>
  <c r="U70" i="10" s="1"/>
  <c r="T71" i="10" s="1"/>
  <c r="V73" i="10" s="1"/>
  <c r="I8" i="10"/>
  <c r="AC85" i="10"/>
  <c r="R8" i="10"/>
  <c r="P64" i="10" s="1"/>
  <c r="O65" i="10" s="1"/>
  <c r="Q67" i="10" s="1"/>
  <c r="I2" i="10"/>
  <c r="S16" i="10"/>
  <c r="I10" i="10"/>
  <c r="R13" i="10"/>
  <c r="P70" i="10" s="1"/>
  <c r="O71" i="10" s="1"/>
  <c r="Q73" i="10" s="1"/>
  <c r="I7" i="10"/>
  <c r="S11" i="10"/>
  <c r="I5" i="10"/>
  <c r="S15" i="10"/>
  <c r="I9" i="10"/>
  <c r="AC77" i="10"/>
  <c r="AA80" i="10"/>
  <c r="AC83" i="10"/>
  <c r="AA83" i="10"/>
  <c r="AA79" i="10"/>
  <c r="AC80" i="10"/>
  <c r="AC79" i="10"/>
  <c r="AC84" i="10"/>
  <c r="AA76" i="10"/>
  <c r="AA81" i="10"/>
  <c r="AA82" i="10"/>
  <c r="AA78" i="10"/>
  <c r="AA84" i="10"/>
  <c r="AC76" i="10"/>
  <c r="AC82" i="10"/>
  <c r="AC78" i="10"/>
  <c r="AC81" i="10"/>
  <c r="Q16" i="10"/>
  <c r="AD70" i="10" s="1"/>
  <c r="AE71" i="10" s="1"/>
  <c r="AG73" i="10" s="1"/>
  <c r="Q11" i="10"/>
  <c r="AD64" i="10" s="1"/>
  <c r="AE65" i="10" s="1"/>
  <c r="AG67" i="10" s="1"/>
  <c r="R10" i="10"/>
  <c r="Z64" i="10" s="1"/>
  <c r="Y65" i="10" s="1"/>
  <c r="AA67" i="10" s="1"/>
  <c r="S14" i="10"/>
  <c r="W31" i="10" s="1"/>
  <c r="R15" i="10"/>
  <c r="Z70" i="10" s="1"/>
  <c r="Y71" i="10" s="1"/>
  <c r="AA73" i="10" s="1"/>
  <c r="W72" i="10"/>
  <c r="R72" i="10"/>
  <c r="AL66" i="10"/>
  <c r="R9" i="10"/>
  <c r="U64" i="10" s="1"/>
  <c r="Q9" i="10"/>
  <c r="T64" i="10" s="1"/>
  <c r="U65" i="10" s="1"/>
  <c r="W67" i="10" s="1"/>
  <c r="S9" i="10"/>
  <c r="Q17" i="10"/>
  <c r="AI70" i="10" s="1"/>
  <c r="AJ71" i="10" s="1"/>
  <c r="AL73" i="10" s="1"/>
  <c r="S17" i="10"/>
  <c r="R17" i="10"/>
  <c r="AJ70" i="10" s="1"/>
  <c r="AI71" i="10" s="1"/>
  <c r="AK73" i="10" s="1"/>
  <c r="Q13" i="10"/>
  <c r="O70" i="10" s="1"/>
  <c r="Q72" i="10" s="1"/>
  <c r="S13" i="10"/>
  <c r="Q14" i="10"/>
  <c r="T70" i="10" s="1"/>
  <c r="U71" i="10" s="1"/>
  <c r="W73" i="10" s="1"/>
  <c r="R11" i="10"/>
  <c r="AE64" i="10" s="1"/>
  <c r="AD65" i="10" s="1"/>
  <c r="AF67" i="10" s="1"/>
  <c r="R16" i="10"/>
  <c r="AE70" i="10" s="1"/>
  <c r="AD71" i="10" s="1"/>
  <c r="AF73" i="10" s="1"/>
  <c r="Q10" i="10"/>
  <c r="Y64" i="10" s="1"/>
  <c r="Z65" i="10" s="1"/>
  <c r="AB67" i="10" s="1"/>
  <c r="Q15" i="10"/>
  <c r="Y70" i="10" s="1"/>
  <c r="Z71" i="10" s="1"/>
  <c r="AB73" i="10" s="1"/>
  <c r="S12" i="10"/>
  <c r="AJ24" i="10" s="1"/>
  <c r="AL26" i="10" s="1"/>
  <c r="Q8" i="10"/>
  <c r="O64" i="10" s="1"/>
  <c r="Q12" i="10"/>
  <c r="AI64" i="10" s="1"/>
  <c r="S8" i="10"/>
  <c r="R24" i="10" l="1"/>
  <c r="P26" i="10" s="1"/>
  <c r="P40" i="10" s="1"/>
  <c r="P31" i="10"/>
  <c r="R33" i="10" s="1"/>
  <c r="V66" i="10"/>
  <c r="R66" i="10"/>
  <c r="I12" i="10"/>
  <c r="AF30" i="10"/>
  <c r="W39" i="10" s="1"/>
  <c r="AF37" i="10" s="1"/>
  <c r="AD30" i="10"/>
  <c r="AF32" i="10" s="1"/>
  <c r="AB24" i="10"/>
  <c r="T40" i="10" s="1"/>
  <c r="AE38" i="10" s="1"/>
  <c r="Z24" i="10"/>
  <c r="AB26" i="10" s="1"/>
  <c r="U31" i="10"/>
  <c r="W33" i="10" s="1"/>
  <c r="AB66" i="10"/>
  <c r="P71" i="10"/>
  <c r="R73" i="10" s="1"/>
  <c r="AF72" i="10"/>
  <c r="AG72" i="10"/>
  <c r="AK72" i="10"/>
  <c r="W66" i="10"/>
  <c r="T65" i="10"/>
  <c r="V67" i="10" s="1"/>
  <c r="AA72" i="10"/>
  <c r="AJ65" i="10"/>
  <c r="AL67" i="10" s="1"/>
  <c r="AK66" i="10"/>
  <c r="AF66" i="10"/>
  <c r="AG66" i="10"/>
  <c r="AD23" i="10"/>
  <c r="AF25" i="10" s="1"/>
  <c r="Q66" i="10"/>
  <c r="P65" i="10"/>
  <c r="R67" i="10" s="1"/>
  <c r="AG23" i="10"/>
  <c r="AF24" i="10" s="1"/>
  <c r="AB31" i="10"/>
  <c r="X42" i="10" s="1"/>
  <c r="AG40" i="10" s="1"/>
  <c r="R31" i="10"/>
  <c r="P33" i="10" s="1"/>
  <c r="R44" i="10" s="1"/>
  <c r="V72" i="10"/>
  <c r="AF23" i="10"/>
  <c r="AD25" i="10" s="1"/>
  <c r="W47" i="10" s="1"/>
  <c r="AF43" i="10" s="1"/>
  <c r="Z31" i="10"/>
  <c r="AB33" i="10" s="1"/>
  <c r="AA66" i="10"/>
  <c r="AB72" i="10"/>
  <c r="AL72" i="10"/>
  <c r="Z30" i="10"/>
  <c r="AB30" i="10"/>
  <c r="Y30" i="10"/>
  <c r="AA32" i="10" s="1"/>
  <c r="AA30" i="10"/>
  <c r="P30" i="10"/>
  <c r="Q30" i="10"/>
  <c r="R30" i="10"/>
  <c r="O30" i="10"/>
  <c r="Q32" i="10" s="1"/>
  <c r="AG31" i="10"/>
  <c r="AG30" i="10"/>
  <c r="AE31" i="10"/>
  <c r="AG33" i="10" s="1"/>
  <c r="AL30" i="10"/>
  <c r="AI30" i="10"/>
  <c r="AK32" i="10" s="1"/>
  <c r="AK30" i="10"/>
  <c r="AJ30" i="10"/>
  <c r="AB23" i="10"/>
  <c r="Y23" i="10"/>
  <c r="AA25" i="10" s="1"/>
  <c r="AA23" i="10"/>
  <c r="Z23" i="10"/>
  <c r="AE24" i="10"/>
  <c r="AG26" i="10" s="1"/>
  <c r="AG24" i="10"/>
  <c r="Z40" i="10"/>
  <c r="AI38" i="10" s="1"/>
  <c r="U33" i="10"/>
  <c r="R48" i="10" s="1"/>
  <c r="AC44" i="10" s="1"/>
  <c r="T30" i="10"/>
  <c r="V32" i="10" s="1"/>
  <c r="W30" i="10"/>
  <c r="V30" i="10"/>
  <c r="U30" i="10"/>
  <c r="AL31" i="10"/>
  <c r="AJ31" i="10"/>
  <c r="AL33" i="10" s="1"/>
  <c r="V23" i="10"/>
  <c r="T23" i="10"/>
  <c r="V25" i="10" s="1"/>
  <c r="U23" i="10"/>
  <c r="W23" i="10"/>
  <c r="AE23" i="10"/>
  <c r="AE30" i="10"/>
  <c r="U24" i="10"/>
  <c r="W26" i="10" s="1"/>
  <c r="W24" i="10"/>
  <c r="AL24" i="10"/>
  <c r="AJ26" i="10" s="1"/>
  <c r="P46" i="10" s="1"/>
  <c r="AK23" i="10"/>
  <c r="AL23" i="10"/>
  <c r="AJ23" i="10"/>
  <c r="AI23" i="10"/>
  <c r="AK25" i="10" s="1"/>
  <c r="Q23" i="10"/>
  <c r="P23" i="10"/>
  <c r="O23" i="10"/>
  <c r="R23" i="10"/>
  <c r="P24" i="10"/>
  <c r="R38" i="10" l="1"/>
  <c r="Z45" i="10"/>
  <c r="AI41" i="10" s="1"/>
  <c r="AD26" i="10"/>
  <c r="W48" i="10" s="1"/>
  <c r="AF44" i="10" s="1"/>
  <c r="AD32" i="10"/>
  <c r="Q45" i="10" s="1"/>
  <c r="AB41" i="10" s="1"/>
  <c r="Z26" i="10"/>
  <c r="R42" i="10" s="1"/>
  <c r="AC40" i="10" s="1"/>
  <c r="V40" i="10"/>
  <c r="Z33" i="10"/>
  <c r="T46" i="10" s="1"/>
  <c r="AE42" i="10" s="1"/>
  <c r="Y47" i="10"/>
  <c r="AH43" i="10" s="1"/>
  <c r="Y45" i="10"/>
  <c r="AH41" i="10" s="1"/>
  <c r="T42" i="10"/>
  <c r="AE40" i="10" s="1"/>
  <c r="Z48" i="10"/>
  <c r="AI44" i="10" s="1"/>
  <c r="W45" i="10"/>
  <c r="AF41" i="10" s="1"/>
  <c r="X46" i="10"/>
  <c r="AG42" i="10" s="1"/>
  <c r="X38" i="10"/>
  <c r="AA24" i="10"/>
  <c r="Y26" i="10"/>
  <c r="Q42" i="10" s="1"/>
  <c r="AB40" i="10" s="1"/>
  <c r="T39" i="10"/>
  <c r="AE37" i="10" s="1"/>
  <c r="U43" i="10"/>
  <c r="T25" i="10"/>
  <c r="U45" i="10" s="1"/>
  <c r="W43" i="10"/>
  <c r="AD24" i="10"/>
  <c r="AG25" i="10"/>
  <c r="V44" i="10"/>
  <c r="Z41" i="10"/>
  <c r="AI39" i="10" s="1"/>
  <c r="AK31" i="10"/>
  <c r="AI33" i="10"/>
  <c r="S48" i="10" s="1"/>
  <c r="AD44" i="10" s="1"/>
  <c r="Y32" i="10"/>
  <c r="S45" i="10" s="1"/>
  <c r="AD41" i="10" s="1"/>
  <c r="W41" i="10"/>
  <c r="AF39" i="10" s="1"/>
  <c r="T31" i="10"/>
  <c r="W32" i="10"/>
  <c r="V33" i="10" s="1"/>
  <c r="AB25" i="10"/>
  <c r="Y24" i="10"/>
  <c r="AI31" i="10"/>
  <c r="AL32" i="10"/>
  <c r="AK33" i="10" s="1"/>
  <c r="O33" i="10"/>
  <c r="Q44" i="10" s="1"/>
  <c r="V39" i="10"/>
  <c r="Q31" i="10"/>
  <c r="T26" i="10"/>
  <c r="U46" i="10" s="1"/>
  <c r="V24" i="10"/>
  <c r="X43" i="10"/>
  <c r="T32" i="10"/>
  <c r="Q47" i="10" s="1"/>
  <c r="AB43" i="10" s="1"/>
  <c r="Y39" i="10"/>
  <c r="AH37" i="10" s="1"/>
  <c r="Y25" i="10"/>
  <c r="Q41" i="10" s="1"/>
  <c r="AB39" i="10" s="1"/>
  <c r="S39" i="10"/>
  <c r="AD37" i="10" s="1"/>
  <c r="AI32" i="10"/>
  <c r="S47" i="10" s="1"/>
  <c r="AD43" i="10" s="1"/>
  <c r="Y41" i="10"/>
  <c r="AH39" i="10" s="1"/>
  <c r="AE25" i="10"/>
  <c r="X47" i="10" s="1"/>
  <c r="AG43" i="10" s="1"/>
  <c r="Y46" i="10"/>
  <c r="AH42" i="10" s="1"/>
  <c r="AF31" i="10"/>
  <c r="X39" i="10"/>
  <c r="AG37" i="10" s="1"/>
  <c r="AD33" i="10"/>
  <c r="Q46" i="10" s="1"/>
  <c r="AB42" i="10" s="1"/>
  <c r="U39" i="10"/>
  <c r="O32" i="10"/>
  <c r="Q43" i="10" s="1"/>
  <c r="Y33" i="10"/>
  <c r="S46" i="10" s="1"/>
  <c r="AD42" i="10" s="1"/>
  <c r="X41" i="10"/>
  <c r="AG39" i="10" s="1"/>
  <c r="AA31" i="10"/>
  <c r="U26" i="10"/>
  <c r="V46" i="10" s="1"/>
  <c r="X44" i="10"/>
  <c r="AG32" i="10"/>
  <c r="AF33" i="10" s="1"/>
  <c r="AD31" i="10"/>
  <c r="W25" i="10"/>
  <c r="V26" i="10" s="1"/>
  <c r="T24" i="10"/>
  <c r="Z42" i="10"/>
  <c r="AI40" i="10" s="1"/>
  <c r="AJ33" i="10"/>
  <c r="T48" i="10" s="1"/>
  <c r="AE44" i="10" s="1"/>
  <c r="V31" i="10"/>
  <c r="Z39" i="10"/>
  <c r="AI37" i="10" s="1"/>
  <c r="T33" i="10"/>
  <c r="Q48" i="10" s="1"/>
  <c r="AB44" i="10" s="1"/>
  <c r="AE26" i="10"/>
  <c r="X48" i="10" s="1"/>
  <c r="AG44" i="10" s="1"/>
  <c r="Z46" i="10"/>
  <c r="AI42" i="10" s="1"/>
  <c r="S41" i="10"/>
  <c r="AD39" i="10" s="1"/>
  <c r="X40" i="10"/>
  <c r="AG38" i="10" s="1"/>
  <c r="AE33" i="10"/>
  <c r="R46" i="10" s="1"/>
  <c r="AC42" i="10" s="1"/>
  <c r="R32" i="10"/>
  <c r="O31" i="10"/>
  <c r="Y31" i="10"/>
  <c r="AB32" i="10"/>
  <c r="AA33" i="10" s="1"/>
  <c r="R37" i="10"/>
  <c r="O26" i="10"/>
  <c r="O40" i="10" s="1"/>
  <c r="Q24" i="10"/>
  <c r="X37" i="10"/>
  <c r="AI26" i="10"/>
  <c r="O46" i="10" s="1"/>
  <c r="AK24" i="10"/>
  <c r="Q25" i="10"/>
  <c r="Q39" i="10" s="1"/>
  <c r="AB37" i="10" s="1"/>
  <c r="O37" i="10"/>
  <c r="AI25" i="10"/>
  <c r="O45" i="10" s="1"/>
  <c r="W37" i="10"/>
  <c r="P37" i="10"/>
  <c r="R25" i="10"/>
  <c r="O24" i="10"/>
  <c r="P38" i="10"/>
  <c r="R26" i="10"/>
  <c r="R40" i="10" s="1"/>
  <c r="AC38" i="10" s="1"/>
  <c r="O25" i="10"/>
  <c r="O39" i="10" s="1"/>
  <c r="Q37" i="10"/>
  <c r="AI24" i="10"/>
  <c r="AL25" i="10"/>
  <c r="U32" i="10" l="1"/>
  <c r="R47" i="10" s="1"/>
  <c r="AC43" i="10" s="1"/>
  <c r="Y40" i="10"/>
  <c r="AH38" i="10" s="1"/>
  <c r="AE32" i="10"/>
  <c r="R45" i="10" s="1"/>
  <c r="AC41" i="10" s="1"/>
  <c r="W40" i="10"/>
  <c r="AF38" i="10" s="1"/>
  <c r="Y42" i="10"/>
  <c r="AH40" i="10" s="1"/>
  <c r="AJ32" i="10"/>
  <c r="T47" i="10" s="1"/>
  <c r="AE43" i="10" s="1"/>
  <c r="Q33" i="10"/>
  <c r="U44" i="10" s="1"/>
  <c r="V43" i="10"/>
  <c r="Z32" i="10"/>
  <c r="T45" i="10" s="1"/>
  <c r="AE41" i="10" s="1"/>
  <c r="W42" i="10"/>
  <c r="AF40" i="10" s="1"/>
  <c r="AF26" i="10"/>
  <c r="Y48" i="10" s="1"/>
  <c r="AH44" i="10" s="1"/>
  <c r="Z47" i="10"/>
  <c r="AI43" i="10" s="1"/>
  <c r="P32" i="10"/>
  <c r="R43" i="10" s="1"/>
  <c r="U40" i="10"/>
  <c r="U25" i="10"/>
  <c r="V45" i="10" s="1"/>
  <c r="W44" i="10"/>
  <c r="AA26" i="10"/>
  <c r="S42" i="10" s="1"/>
  <c r="AD40" i="10" s="1"/>
  <c r="T41" i="10"/>
  <c r="AE39" i="10" s="1"/>
  <c r="Z25" i="10"/>
  <c r="R41" i="10" s="1"/>
  <c r="AC39" i="10" s="1"/>
  <c r="S40" i="10"/>
  <c r="AD38" i="10" s="1"/>
  <c r="Q26" i="10"/>
  <c r="Q40" i="10" s="1"/>
  <c r="AB38" i="10" s="1"/>
  <c r="R39" i="10"/>
  <c r="AC37" i="10" s="1"/>
  <c r="AK26" i="10"/>
  <c r="W46" i="10" s="1"/>
  <c r="AF42" i="10" s="1"/>
  <c r="X45" i="10"/>
  <c r="AG41" i="10" s="1"/>
  <c r="P25" i="10"/>
  <c r="P39" i="10" s="1"/>
  <c r="Q38" i="10"/>
  <c r="AJ25" i="10"/>
  <c r="P45" i="10" s="1"/>
  <c r="W38" i="10"/>
  <c r="O38" i="10"/>
  <c r="O52" i="10" l="1" a="1"/>
  <c r="O52" i="10" s="1"/>
  <c r="T52" i="10" l="1"/>
  <c r="V54" i="10"/>
  <c r="T54" i="10"/>
  <c r="V52" i="10"/>
  <c r="O57" i="10"/>
  <c r="P57" i="10"/>
  <c r="Q57" i="10"/>
  <c r="R57" i="10"/>
  <c r="S57" i="10"/>
  <c r="T57" i="10"/>
  <c r="U57" i="10"/>
  <c r="O54" i="10"/>
  <c r="P56" i="10"/>
  <c r="Q58" i="10"/>
  <c r="T56" i="10"/>
  <c r="O55" i="10"/>
  <c r="T58" i="10"/>
  <c r="V56" i="10"/>
  <c r="O59" i="10"/>
  <c r="P59" i="10"/>
  <c r="Q59" i="10"/>
  <c r="R59" i="10"/>
  <c r="S59" i="10"/>
  <c r="T59" i="10"/>
  <c r="V53" i="10"/>
  <c r="O56" i="10"/>
  <c r="P58" i="10"/>
  <c r="R54" i="10"/>
  <c r="S52" i="10"/>
  <c r="U52" i="10"/>
  <c r="S54" i="10"/>
  <c r="U54" i="10"/>
  <c r="V58" i="10"/>
  <c r="P53" i="10"/>
  <c r="Q53" i="10"/>
  <c r="R53" i="10"/>
  <c r="S53" i="10"/>
  <c r="T53" i="10"/>
  <c r="U53" i="10"/>
  <c r="V55" i="10"/>
  <c r="O58" i="10"/>
  <c r="Q54" i="10"/>
  <c r="R56" i="10"/>
  <c r="S56" i="10"/>
  <c r="U56" i="10"/>
  <c r="S58" i="10"/>
  <c r="U58" i="10"/>
  <c r="O53" i="10"/>
  <c r="P55" i="10"/>
  <c r="Q55" i="10"/>
  <c r="R55" i="10"/>
  <c r="S55" i="10"/>
  <c r="T55" i="10"/>
  <c r="U55" i="10"/>
  <c r="V57" i="10"/>
  <c r="P54" i="10"/>
  <c r="Q56" i="10"/>
  <c r="R58" i="10"/>
  <c r="U59" i="10"/>
  <c r="V59" i="10"/>
  <c r="P52" i="10"/>
  <c r="Q52" i="10"/>
  <c r="R52" i="10"/>
  <c r="Z52" i="10" l="1" a="1"/>
  <c r="Z52" i="10" s="1"/>
  <c r="AB50" i="10" s="1"/>
  <c r="Z58" i="10" l="1"/>
  <c r="AB58" i="10" s="1"/>
  <c r="Z56" i="10"/>
  <c r="AB56" i="10" s="1"/>
  <c r="Z53" i="10"/>
  <c r="AB51" i="10" s="1"/>
  <c r="U93" i="10" s="1"/>
  <c r="Z59" i="10"/>
  <c r="AB59" i="10" s="1"/>
  <c r="P106" i="10" s="1"/>
  <c r="Q106" i="10" s="1"/>
  <c r="R106" i="10" s="1"/>
  <c r="Z55" i="10"/>
  <c r="AB53" i="10" s="1"/>
  <c r="Z54" i="10"/>
  <c r="AB52" i="10" s="1"/>
  <c r="Z57" i="10"/>
  <c r="AB57" i="10" s="1"/>
  <c r="P105" i="10" s="1"/>
  <c r="Q105" i="10" s="1"/>
  <c r="O79" i="10"/>
  <c r="U77" i="10"/>
  <c r="Q77" i="10"/>
  <c r="W77" i="10"/>
  <c r="T77" i="10"/>
  <c r="U94" i="10" l="1"/>
  <c r="R105" i="10"/>
  <c r="R107" i="10" s="1"/>
  <c r="U97" i="10"/>
  <c r="U96" i="10"/>
  <c r="X80" i="10"/>
  <c r="U80" i="10"/>
  <c r="R80" i="10"/>
  <c r="W80" i="10"/>
  <c r="V80" i="10"/>
  <c r="S80" i="10"/>
  <c r="P80" i="10"/>
  <c r="R78" i="10"/>
  <c r="Q78" i="10"/>
  <c r="O80" i="10"/>
  <c r="O84" i="10" s="1" a="1"/>
  <c r="W78" i="10"/>
  <c r="U78" i="10"/>
  <c r="T78" i="10"/>
  <c r="T84" i="10" s="1" a="1"/>
  <c r="Q79" i="10"/>
  <c r="X77" i="10"/>
  <c r="V77" i="10"/>
  <c r="P79" i="10"/>
  <c r="R77" i="10"/>
  <c r="W79" i="10"/>
  <c r="V79" i="10"/>
  <c r="S79" i="10"/>
  <c r="X78" i="10"/>
  <c r="V78" i="10"/>
  <c r="Q80" i="10"/>
  <c r="X79" i="10"/>
  <c r="U79" i="10"/>
  <c r="R79" i="10"/>
  <c r="P84" i="10" l="1" a="1"/>
  <c r="P86" i="10" s="1"/>
  <c r="R84" i="10" a="1"/>
  <c r="R87" i="10" s="1"/>
  <c r="Q84" i="10" a="1"/>
  <c r="Q87" i="10" s="1"/>
  <c r="U84" i="10" a="1"/>
  <c r="U86" i="10" s="1"/>
  <c r="W84" i="10" a="1"/>
  <c r="W85" i="10" s="1"/>
  <c r="T85" i="10"/>
  <c r="T86" i="10"/>
  <c r="T87" i="10"/>
  <c r="T84" i="10"/>
  <c r="O84" i="10"/>
  <c r="O87" i="10"/>
  <c r="O85" i="10"/>
  <c r="O86" i="10"/>
  <c r="S84" i="10" a="1"/>
  <c r="V84" i="10" a="1"/>
  <c r="X84" i="10" a="1"/>
  <c r="P85" i="10" l="1"/>
  <c r="P84" i="10"/>
  <c r="P87" i="10"/>
  <c r="R86" i="10"/>
  <c r="R85" i="10"/>
  <c r="R84" i="10"/>
  <c r="U85" i="10"/>
  <c r="Q86" i="10"/>
  <c r="Q85" i="10"/>
  <c r="U84" i="10"/>
  <c r="U87" i="10"/>
  <c r="Q84" i="10"/>
  <c r="P92" i="10"/>
  <c r="Q92" i="10" s="1"/>
  <c r="R92" i="10" s="1"/>
  <c r="P97" i="10"/>
  <c r="Q97" i="10" s="1"/>
  <c r="R97" i="10" s="1"/>
  <c r="W84" i="10"/>
  <c r="W87" i="10"/>
  <c r="W86" i="10"/>
  <c r="X84" i="10"/>
  <c r="X85" i="10"/>
  <c r="X86" i="10"/>
  <c r="X87" i="10"/>
  <c r="V84" i="10"/>
  <c r="V87" i="10"/>
  <c r="V85" i="10"/>
  <c r="V86" i="10"/>
  <c r="S84" i="10"/>
  <c r="S85" i="10"/>
  <c r="S86" i="10"/>
  <c r="S87" i="10"/>
  <c r="P93" i="10" l="1"/>
  <c r="Q93" i="10" s="1"/>
  <c r="R93" i="10" s="1"/>
  <c r="P95" i="10"/>
  <c r="Q95" i="10" s="1"/>
  <c r="R95" i="10" s="1"/>
  <c r="P98" i="10"/>
  <c r="Q98" i="10" s="1"/>
  <c r="R98" i="10" s="1"/>
  <c r="P94" i="10"/>
  <c r="Q94" i="10" s="1"/>
  <c r="R94" i="10" s="1"/>
  <c r="P100" i="10"/>
  <c r="Q100" i="10" s="1"/>
  <c r="R100" i="10" s="1"/>
  <c r="P96" i="10"/>
  <c r="Q96" i="10" s="1"/>
  <c r="R96" i="10" s="1"/>
  <c r="P99" i="10"/>
  <c r="Q99" i="10" s="1"/>
  <c r="R99" i="10" s="1"/>
  <c r="P101" i="10"/>
  <c r="Q101" i="10" s="1"/>
  <c r="R101" i="10" s="1"/>
  <c r="R102" i="10" l="1"/>
  <c r="Q109" i="10" s="1"/>
  <c r="J2" i="10" s="1"/>
</calcChain>
</file>

<file path=xl/sharedStrings.xml><?xml version="1.0" encoding="utf-8"?>
<sst xmlns="http://schemas.openxmlformats.org/spreadsheetml/2006/main" count="203" uniqueCount="101">
  <si>
    <t>Iterations</t>
  </si>
  <si>
    <t>x1</t>
  </si>
  <si>
    <t>x2</t>
  </si>
  <si>
    <t>Design Variables</t>
  </si>
  <si>
    <t>Value</t>
  </si>
  <si>
    <t>Lower Limit</t>
  </si>
  <si>
    <t>Upper Limit</t>
  </si>
  <si>
    <t>Seeding</t>
  </si>
  <si>
    <t>Parameter</t>
  </si>
  <si>
    <t>x3</t>
  </si>
  <si>
    <t>x4</t>
  </si>
  <si>
    <t>x5</t>
  </si>
  <si>
    <t>x6</t>
  </si>
  <si>
    <t>x7</t>
  </si>
  <si>
    <t>x8</t>
  </si>
  <si>
    <t>x9</t>
  </si>
  <si>
    <t>x10</t>
  </si>
  <si>
    <t>Structure Parameters</t>
  </si>
  <si>
    <t>Young's Modulus (Pa)</t>
  </si>
  <si>
    <t>P_bb</t>
  </si>
  <si>
    <t>U_bb</t>
  </si>
  <si>
    <t>k_bb</t>
  </si>
  <si>
    <t>X</t>
  </si>
  <si>
    <t>=</t>
  </si>
  <si>
    <t>Global Stiffness Matrix</t>
  </si>
  <si>
    <t>U2</t>
  </si>
  <si>
    <t>V2</t>
  </si>
  <si>
    <t>U3</t>
  </si>
  <si>
    <t>V3</t>
  </si>
  <si>
    <t>U4</t>
  </si>
  <si>
    <t>V4</t>
  </si>
  <si>
    <t>U5</t>
  </si>
  <si>
    <t>V5</t>
  </si>
  <si>
    <t>U6</t>
  </si>
  <si>
    <t>V6</t>
  </si>
  <si>
    <t>U1</t>
  </si>
  <si>
    <t>V1</t>
  </si>
  <si>
    <t>Global U</t>
  </si>
  <si>
    <t>u1</t>
  </si>
  <si>
    <t>u2</t>
  </si>
  <si>
    <t>u4</t>
  </si>
  <si>
    <t>u5</t>
  </si>
  <si>
    <t>u3</t>
  </si>
  <si>
    <t>u6</t>
  </si>
  <si>
    <t>Stress (Pa)</t>
  </si>
  <si>
    <t>Node 1</t>
  </si>
  <si>
    <t>Node 2</t>
  </si>
  <si>
    <t>Node 3</t>
  </si>
  <si>
    <t>Node 4</t>
  </si>
  <si>
    <t>Node 5</t>
  </si>
  <si>
    <t>Node 6</t>
  </si>
  <si>
    <t>Max Node Displacement (m)</t>
  </si>
  <si>
    <t>Weight (kg)</t>
  </si>
  <si>
    <t>Area (m^2)</t>
  </si>
  <si>
    <t>Truss Element</t>
  </si>
  <si>
    <t>Material Density (kg/m^3)</t>
  </si>
  <si>
    <t>x (m)</t>
  </si>
  <si>
    <t>y (m)</t>
  </si>
  <si>
    <t>Fx (N)</t>
  </si>
  <si>
    <t>Fy (N)</t>
  </si>
  <si>
    <t>Element 1</t>
  </si>
  <si>
    <t>Element</t>
  </si>
  <si>
    <t>C</t>
  </si>
  <si>
    <t>S</t>
  </si>
  <si>
    <t>k (N/m)</t>
  </si>
  <si>
    <t>Length (m)</t>
  </si>
  <si>
    <t>Element 2</t>
  </si>
  <si>
    <t>Element 3</t>
  </si>
  <si>
    <t>Element 4</t>
  </si>
  <si>
    <t>Element 5</t>
  </si>
  <si>
    <t>Element 6</t>
  </si>
  <si>
    <t>Element 7</t>
  </si>
  <si>
    <t>Element 8</t>
  </si>
  <si>
    <t>Element 9</t>
  </si>
  <si>
    <t>Element 10</t>
  </si>
  <si>
    <t>Matrices</t>
  </si>
  <si>
    <t>Inverse k_bb</t>
  </si>
  <si>
    <t>Transformation Matrices</t>
  </si>
  <si>
    <t>Local Displacements</t>
  </si>
  <si>
    <t>U7</t>
  </si>
  <si>
    <t>U8</t>
  </si>
  <si>
    <t>U9</t>
  </si>
  <si>
    <t>U10</t>
  </si>
  <si>
    <t>Global Displacements</t>
  </si>
  <si>
    <t>u7</t>
  </si>
  <si>
    <t>u8</t>
  </si>
  <si>
    <t>u9</t>
  </si>
  <si>
    <t>u10</t>
  </si>
  <si>
    <t>[D][B]</t>
  </si>
  <si>
    <t>Outputs</t>
  </si>
  <si>
    <t>Displacement (m)</t>
  </si>
  <si>
    <t>Alpha</t>
  </si>
  <si>
    <t>Beta</t>
  </si>
  <si>
    <t>Gamma</t>
  </si>
  <si>
    <t>Absolute Stress (Pa)</t>
  </si>
  <si>
    <t>Check</t>
  </si>
  <si>
    <t>Absolute Displacement (m)</t>
  </si>
  <si>
    <t>Total Violation</t>
  </si>
  <si>
    <t>Truss Mass (kg)</t>
  </si>
  <si>
    <t>Max Stress (Pa)</t>
  </si>
  <si>
    <t>Fireflies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</si>
</sst>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0.000E+00"/>
    <numFmt numFmtId="167" formatCode="0.0000E+00"/>
  </numFmts>
  <fonts count="6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7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3" fillId="0" borderId="0" xfId="0" applyFont="1"/>
    <xf numFmtId="0" fontId="0" fillId="0" borderId="0" xfId="0" applyFill="1"/>
    <xf numFmtId="0" fontId="3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Border="1"/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5" borderId="1" xfId="0" applyFill="1" applyBorder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right"/>
    </xf>
    <xf numFmtId="0" fontId="0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5" borderId="1" xfId="0" applyNumberFormat="1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66" fontId="0" fillId="5" borderId="2" xfId="0" applyNumberFormat="1" applyFill="1" applyBorder="1" applyAlignment="1">
      <alignment horizontal="center"/>
    </xf>
    <xf numFmtId="0" fontId="0" fillId="5" borderId="2" xfId="0" applyNumberFormat="1" applyFill="1" applyBorder="1" applyAlignment="1">
      <alignment horizontal="center"/>
    </xf>
    <xf numFmtId="0" fontId="0" fillId="5" borderId="6" xfId="0" applyNumberFormat="1" applyFill="1" applyBorder="1" applyAlignment="1">
      <alignment horizontal="center"/>
    </xf>
    <xf numFmtId="0" fontId="0" fillId="5" borderId="7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66" fontId="0" fillId="2" borderId="2" xfId="0" applyNumberFormat="1" applyFill="1" applyBorder="1" applyAlignment="1">
      <alignment horizontal="center"/>
    </xf>
    <xf numFmtId="166" fontId="0" fillId="0" borderId="2" xfId="0" applyNumberFormat="1" applyFill="1" applyBorder="1"/>
    <xf numFmtId="0" fontId="3" fillId="0" borderId="0" xfId="0" applyFont="1" applyFill="1" applyBorder="1" applyAlignment="1">
      <alignment horizontal="center"/>
    </xf>
    <xf numFmtId="0" fontId="0" fillId="2" borderId="2" xfId="0" applyNumberForma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11" fontId="0" fillId="2" borderId="2" xfId="0" applyNumberFormat="1" applyFill="1" applyBorder="1" applyAlignment="1">
      <alignment horizontal="center"/>
    </xf>
    <xf numFmtId="167" fontId="3" fillId="4" borderId="7" xfId="0" applyNumberFormat="1" applyFont="1" applyFill="1" applyBorder="1"/>
    <xf numFmtId="167" fontId="0" fillId="4" borderId="8" xfId="0" applyNumberFormat="1" applyFill="1" applyBorder="1"/>
    <xf numFmtId="166" fontId="0" fillId="3" borderId="2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5" fillId="0" borderId="5" xfId="0" applyFont="1" applyBorder="1" applyAlignment="1">
      <alignment horizontal="center" vertic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colors>
    <mruColors>
      <color rgb="FFFF4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431800</xdr:colOff>
          <xdr:row>11</xdr:row>
          <xdr:rowOff>12700</xdr:rowOff>
        </xdr:from>
        <xdr:to>
          <xdr:col>2</xdr:col>
          <xdr:colOff>0</xdr:colOff>
          <xdr:row>12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431800</xdr:colOff>
          <xdr:row>13</xdr:row>
          <xdr:rowOff>38100</xdr:rowOff>
        </xdr:from>
        <xdr:to>
          <xdr:col>2</xdr:col>
          <xdr:colOff>0</xdr:colOff>
          <xdr:row>15</xdr:row>
          <xdr:rowOff>12700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FA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63500</xdr:rowOff>
        </xdr:from>
        <xdr:to>
          <xdr:col>1</xdr:col>
          <xdr:colOff>812800</xdr:colOff>
          <xdr:row>17</xdr:row>
          <xdr:rowOff>38100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Plot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431800</xdr:colOff>
          <xdr:row>17</xdr:row>
          <xdr:rowOff>76200</xdr:rowOff>
        </xdr:from>
        <xdr:to>
          <xdr:col>2</xdr:col>
          <xdr:colOff>0</xdr:colOff>
          <xdr:row>19</xdr:row>
          <xdr:rowOff>50800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Graphs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5C56A-8DB1-3640-9D32-6D3ACACFF4A7}">
  <sheetPr codeName="Sheet8"/>
  <dimension ref="A1:AL109"/>
  <sheetViews>
    <sheetView tabSelected="1" workbookViewId="0">
      <selection activeCell="D8" sqref="D8"/>
    </sheetView>
  </sheetViews>
  <sheetFormatPr baseColWidth="10" defaultRowHeight="16"/>
  <cols>
    <col min="1" max="1" width="14.83203125" bestFit="1" customWidth="1"/>
    <col min="5" max="5" width="14.83203125" bestFit="1" customWidth="1"/>
    <col min="9" max="9" width="14.1640625" bestFit="1" customWidth="1"/>
    <col min="12" max="12" width="25.1640625" bestFit="1" customWidth="1"/>
    <col min="15" max="15" width="12.83203125" bestFit="1" customWidth="1"/>
    <col min="16" max="16" width="15.83203125" bestFit="1" customWidth="1"/>
    <col min="17" max="17" width="23.83203125" bestFit="1" customWidth="1"/>
    <col min="18" max="18" width="12.83203125" bestFit="1" customWidth="1"/>
    <col min="19" max="19" width="15.83203125" bestFit="1" customWidth="1"/>
    <col min="20" max="20" width="12.83203125" bestFit="1" customWidth="1"/>
    <col min="21" max="21" width="15.83203125" bestFit="1" customWidth="1"/>
    <col min="22" max="24" width="12.83203125" bestFit="1" customWidth="1"/>
    <col min="25" max="25" width="12.1640625" bestFit="1" customWidth="1"/>
    <col min="26" max="26" width="12.83203125" bestFit="1" customWidth="1"/>
    <col min="27" max="29" width="11.83203125" bestFit="1" customWidth="1"/>
    <col min="30" max="31" width="11.1640625" bestFit="1" customWidth="1"/>
    <col min="32" max="33" width="11.83203125" bestFit="1" customWidth="1"/>
    <col min="35" max="36" width="11.1640625" bestFit="1" customWidth="1"/>
    <col min="37" max="38" width="11.83203125" bestFit="1" customWidth="1"/>
  </cols>
  <sheetData>
    <row r="1" spans="1:21">
      <c r="A1" s="3" t="s">
        <v>8</v>
      </c>
      <c r="B1" s="3" t="s">
        <v>4</v>
      </c>
      <c r="D1" s="2"/>
      <c r="E1" s="3" t="s">
        <v>54</v>
      </c>
      <c r="F1" s="4" t="s">
        <v>53</v>
      </c>
      <c r="G1" s="4" t="s">
        <v>5</v>
      </c>
      <c r="H1" s="4" t="s">
        <v>6</v>
      </c>
      <c r="I1" s="30" t="s">
        <v>98</v>
      </c>
      <c r="J1" s="3" t="s">
        <v>52</v>
      </c>
      <c r="L1" s="1" t="s">
        <v>17</v>
      </c>
      <c r="M1" s="1"/>
      <c r="O1" s="8"/>
      <c r="P1" s="10" t="s">
        <v>45</v>
      </c>
      <c r="Q1" s="10" t="s">
        <v>46</v>
      </c>
      <c r="R1" s="10" t="s">
        <v>47</v>
      </c>
      <c r="S1" s="10" t="s">
        <v>48</v>
      </c>
      <c r="T1" s="10" t="s">
        <v>49</v>
      </c>
      <c r="U1" s="10" t="s">
        <v>50</v>
      </c>
    </row>
    <row r="2" spans="1:21">
      <c r="A2" t="s">
        <v>3</v>
      </c>
      <c r="B2" s="17">
        <v>10</v>
      </c>
      <c r="E2" s="7" t="s">
        <v>1</v>
      </c>
      <c r="F2" s="36"/>
      <c r="G2" s="28">
        <v>7.41934E-3</v>
      </c>
      <c r="H2" s="28">
        <v>8.0645000000000005E-3</v>
      </c>
      <c r="I2" s="29">
        <f>ABS(F2*P8)</f>
        <v>0</v>
      </c>
      <c r="J2" s="35" t="e">
        <f>I12*(1+Q109)</f>
        <v>#NUM!</v>
      </c>
      <c r="L2" t="s">
        <v>18</v>
      </c>
      <c r="M2" s="28">
        <v>70000000000</v>
      </c>
      <c r="O2" s="10" t="s">
        <v>56</v>
      </c>
      <c r="P2" s="31">
        <v>0</v>
      </c>
      <c r="Q2" s="31">
        <v>9.1440000000000001</v>
      </c>
      <c r="R2" s="31">
        <v>18.288</v>
      </c>
      <c r="S2" s="31">
        <v>0</v>
      </c>
      <c r="T2" s="31">
        <v>9.1440000000000001</v>
      </c>
      <c r="U2" s="31">
        <v>18.288</v>
      </c>
    </row>
    <row r="3" spans="1:21">
      <c r="A3" t="s">
        <v>100</v>
      </c>
      <c r="B3" s="17">
        <v>50</v>
      </c>
      <c r="E3" s="7" t="s">
        <v>2</v>
      </c>
      <c r="F3" s="36"/>
      <c r="G3" s="28">
        <v>5.1612799999999999E-3</v>
      </c>
      <c r="H3" s="28">
        <v>5.8064400000000004E-3</v>
      </c>
      <c r="I3" s="29">
        <f t="shared" ref="I3:I11" si="0">ABS(F3*P9)</f>
        <v>0</v>
      </c>
      <c r="L3" t="s">
        <v>55</v>
      </c>
      <c r="M3" s="28">
        <v>2767.9904710189999</v>
      </c>
      <c r="O3" s="10" t="s">
        <v>57</v>
      </c>
      <c r="P3" s="31">
        <v>9.1440000000000001</v>
      </c>
      <c r="Q3" s="31">
        <v>9.1440000000000001</v>
      </c>
      <c r="R3" s="31">
        <v>9.1440000000000001</v>
      </c>
      <c r="S3" s="31">
        <v>0</v>
      </c>
      <c r="T3" s="31">
        <v>0</v>
      </c>
      <c r="U3" s="31">
        <v>0</v>
      </c>
    </row>
    <row r="4" spans="1:21">
      <c r="A4" t="s">
        <v>0</v>
      </c>
      <c r="B4" s="17">
        <v>500</v>
      </c>
      <c r="E4" s="7" t="s">
        <v>9</v>
      </c>
      <c r="F4" s="36"/>
      <c r="G4" s="28">
        <v>6.4516000000000004E-5</v>
      </c>
      <c r="H4" s="28">
        <v>6.4515999999999998E-4</v>
      </c>
      <c r="I4" s="29">
        <f t="shared" si="0"/>
        <v>0</v>
      </c>
      <c r="L4" t="s">
        <v>99</v>
      </c>
      <c r="M4" s="28">
        <v>172368932.33000001</v>
      </c>
      <c r="O4" s="10" t="s">
        <v>58</v>
      </c>
      <c r="P4" s="32"/>
      <c r="Q4" s="18">
        <v>0</v>
      </c>
      <c r="R4" s="18">
        <v>0</v>
      </c>
      <c r="S4" s="32"/>
      <c r="T4" s="18">
        <v>0</v>
      </c>
      <c r="U4" s="18">
        <v>0</v>
      </c>
    </row>
    <row r="5" spans="1:21">
      <c r="A5" t="s">
        <v>7</v>
      </c>
      <c r="B5" s="17"/>
      <c r="E5" s="7" t="s">
        <v>10</v>
      </c>
      <c r="F5" s="36"/>
      <c r="G5" s="28">
        <v>3.5483799999999999E-3</v>
      </c>
      <c r="H5" s="28">
        <v>4.1935399999999999E-3</v>
      </c>
      <c r="I5" s="29">
        <f t="shared" si="0"/>
        <v>0</v>
      </c>
      <c r="L5" t="s">
        <v>51</v>
      </c>
      <c r="M5" s="28">
        <v>0.127</v>
      </c>
      <c r="O5" s="10" t="s">
        <v>59</v>
      </c>
      <c r="P5" s="32"/>
      <c r="Q5" s="18">
        <v>0</v>
      </c>
      <c r="R5" s="18">
        <v>0</v>
      </c>
      <c r="S5" s="32"/>
      <c r="T5" s="33">
        <v>-444822.16</v>
      </c>
      <c r="U5" s="33">
        <v>-444822.16</v>
      </c>
    </row>
    <row r="6" spans="1:21">
      <c r="A6" t="s">
        <v>91</v>
      </c>
      <c r="B6" s="17">
        <v>0.25</v>
      </c>
      <c r="E6" s="7" t="s">
        <v>11</v>
      </c>
      <c r="F6" s="36"/>
      <c r="G6" s="28">
        <v>3.5483799999999999E-3</v>
      </c>
      <c r="H6" s="28">
        <v>3.8709600000000001E-3</v>
      </c>
      <c r="I6" s="29">
        <f t="shared" si="0"/>
        <v>0</v>
      </c>
    </row>
    <row r="7" spans="1:21">
      <c r="A7" t="s">
        <v>92</v>
      </c>
      <c r="B7" s="17">
        <v>2</v>
      </c>
      <c r="E7" s="7" t="s">
        <v>12</v>
      </c>
      <c r="F7" s="36"/>
      <c r="G7" s="28">
        <v>5.1612799999999999E-3</v>
      </c>
      <c r="H7" s="28">
        <v>5.8064400000000004E-3</v>
      </c>
      <c r="I7" s="29">
        <f t="shared" si="0"/>
        <v>0</v>
      </c>
      <c r="O7" s="10" t="s">
        <v>61</v>
      </c>
      <c r="P7" s="10" t="s">
        <v>65</v>
      </c>
      <c r="Q7" s="10" t="s">
        <v>62</v>
      </c>
      <c r="R7" s="10" t="s">
        <v>63</v>
      </c>
      <c r="S7" s="10" t="s">
        <v>64</v>
      </c>
    </row>
    <row r="8" spans="1:21">
      <c r="A8" t="s">
        <v>93</v>
      </c>
      <c r="B8" s="17">
        <v>0.5</v>
      </c>
      <c r="E8" s="7" t="s">
        <v>13</v>
      </c>
      <c r="F8" s="36"/>
      <c r="G8" s="28">
        <v>5.1612799999999999E-3</v>
      </c>
      <c r="H8" s="28">
        <v>5.8064400000000004E-3</v>
      </c>
      <c r="I8" s="29">
        <f t="shared" si="0"/>
        <v>0</v>
      </c>
      <c r="O8" s="11">
        <v>1</v>
      </c>
      <c r="P8" s="9">
        <f>SQRT((Q2-P2)^2+(Q3-P3)^2)</f>
        <v>9.1440000000000001</v>
      </c>
      <c r="Q8" s="9">
        <f>(Q2-P2)/P8</f>
        <v>1</v>
      </c>
      <c r="R8" s="9">
        <f>(Q3-P3)/P8</f>
        <v>0</v>
      </c>
      <c r="S8" s="12">
        <f>($M$2*F2)/P8</f>
        <v>0</v>
      </c>
    </row>
    <row r="9" spans="1:21">
      <c r="E9" s="7" t="s">
        <v>14</v>
      </c>
      <c r="F9" s="36"/>
      <c r="G9" s="28">
        <v>6.4516000000000004E-5</v>
      </c>
      <c r="H9" s="28">
        <v>6.4515999999999998E-4</v>
      </c>
      <c r="I9" s="29">
        <f t="shared" si="0"/>
        <v>0</v>
      </c>
      <c r="O9" s="11">
        <v>2</v>
      </c>
      <c r="P9" s="9">
        <f>SQRT((T2-S2)^2+(T3-S3)^2)</f>
        <v>9.1440000000000001</v>
      </c>
      <c r="Q9" s="9">
        <f>(T2-S2)/P9</f>
        <v>1</v>
      </c>
      <c r="R9" s="9">
        <f>(T3-S3)/P9</f>
        <v>0</v>
      </c>
      <c r="S9" s="12">
        <f t="shared" ref="S9:S17" si="1">($M$2*F3)/P9</f>
        <v>0</v>
      </c>
    </row>
    <row r="10" spans="1:21">
      <c r="E10" s="7" t="s">
        <v>15</v>
      </c>
      <c r="F10" s="36"/>
      <c r="G10" s="28">
        <v>6.4516000000000004E-5</v>
      </c>
      <c r="H10" s="28">
        <v>6.4515999999999998E-4</v>
      </c>
      <c r="I10" s="29">
        <f t="shared" si="0"/>
        <v>0</v>
      </c>
      <c r="O10" s="11">
        <v>3</v>
      </c>
      <c r="P10" s="9">
        <f>SQRT((R2-Q2)^2+(R3-Q3)^2)</f>
        <v>9.1440000000000001</v>
      </c>
      <c r="Q10" s="9">
        <f>(R2-Q2)/P10</f>
        <v>1</v>
      </c>
      <c r="R10" s="9">
        <f>(R3-Q3)/P10</f>
        <v>0</v>
      </c>
      <c r="S10" s="12">
        <f t="shared" si="1"/>
        <v>0</v>
      </c>
    </row>
    <row r="11" spans="1:21" ht="17" thickBot="1">
      <c r="E11" s="7" t="s">
        <v>16</v>
      </c>
      <c r="F11" s="36"/>
      <c r="G11" s="28">
        <v>6.4516000000000004E-5</v>
      </c>
      <c r="H11" s="28">
        <v>6.4515999999999998E-4</v>
      </c>
      <c r="I11" s="29">
        <f t="shared" si="0"/>
        <v>0</v>
      </c>
      <c r="O11" s="11">
        <v>4</v>
      </c>
      <c r="P11" s="9">
        <f>SQRT((U2-T2)^2+(U3-T3)^2)</f>
        <v>9.1440000000000001</v>
      </c>
      <c r="Q11" s="9">
        <f>(U2-T2)/P11</f>
        <v>1</v>
      </c>
      <c r="R11" s="9">
        <f>(U3-T3)/P11</f>
        <v>0</v>
      </c>
      <c r="S11" s="12">
        <f t="shared" si="1"/>
        <v>0</v>
      </c>
    </row>
    <row r="12" spans="1:21" ht="17" thickBot="1">
      <c r="I12" s="34">
        <f>(SUM(I2:I11)*M3)</f>
        <v>0</v>
      </c>
      <c r="O12" s="11">
        <v>5</v>
      </c>
      <c r="P12" s="9">
        <f>SQRT((T2-P2)^2+(T3-P3)^2)</f>
        <v>12.931568814339581</v>
      </c>
      <c r="Q12" s="9">
        <f>(T2-P2)/P12</f>
        <v>0.70710678118654757</v>
      </c>
      <c r="R12" s="9">
        <f>(T3-P3)/P12</f>
        <v>-0.70710678118654757</v>
      </c>
      <c r="S12" s="12">
        <f t="shared" si="1"/>
        <v>0</v>
      </c>
    </row>
    <row r="13" spans="1:21">
      <c r="O13" s="11">
        <v>6</v>
      </c>
      <c r="P13" s="9">
        <f>SQRT((S2-Q2)^2+(S3-Q3)^2)</f>
        <v>12.931568814339581</v>
      </c>
      <c r="Q13" s="9">
        <f>(S2-Q2)/P13</f>
        <v>-0.70710678118654757</v>
      </c>
      <c r="R13" s="9">
        <f>(S3-Q3)/P13</f>
        <v>-0.70710678118654757</v>
      </c>
      <c r="S13" s="12">
        <f t="shared" si="1"/>
        <v>0</v>
      </c>
    </row>
    <row r="14" spans="1:21">
      <c r="O14" s="11">
        <v>7</v>
      </c>
      <c r="P14" s="9">
        <f>SQRT((U2-Q2)^2+(U3-Q3)^2)</f>
        <v>12.931568814339581</v>
      </c>
      <c r="Q14" s="9">
        <f>(U2-Q2)/P14</f>
        <v>0.70710678118654757</v>
      </c>
      <c r="R14" s="9">
        <f>(U3-Q3)/P14</f>
        <v>-0.70710678118654757</v>
      </c>
      <c r="S14" s="12">
        <f t="shared" si="1"/>
        <v>0</v>
      </c>
    </row>
    <row r="15" spans="1:21">
      <c r="O15" s="11">
        <v>8</v>
      </c>
      <c r="P15" s="9">
        <f>SQRT((T2-R2)^2+(T3-R3)^2)</f>
        <v>12.931568814339581</v>
      </c>
      <c r="Q15" s="9">
        <f>(T2-R2)/P15</f>
        <v>-0.70710678118654757</v>
      </c>
      <c r="R15" s="9">
        <f>(T3-R3)/P15</f>
        <v>-0.70710678118654757</v>
      </c>
      <c r="S15" s="12">
        <f t="shared" si="1"/>
        <v>0</v>
      </c>
    </row>
    <row r="16" spans="1:21">
      <c r="O16" s="11">
        <v>9</v>
      </c>
      <c r="P16" s="9">
        <f>SQRT((T2-Q2)^2+(T3-Q3)^2)</f>
        <v>9.1440000000000001</v>
      </c>
      <c r="Q16" s="9">
        <f>(T2-Q2)/P16</f>
        <v>0</v>
      </c>
      <c r="R16" s="9">
        <f>(T3-Q3)/P16</f>
        <v>-1</v>
      </c>
      <c r="S16" s="12">
        <f t="shared" si="1"/>
        <v>0</v>
      </c>
    </row>
    <row r="17" spans="15:38">
      <c r="O17" s="11">
        <v>10</v>
      </c>
      <c r="P17" s="9">
        <f>SQRT((U2-R2)^2+(U3-R3)^2)</f>
        <v>9.1440000000000001</v>
      </c>
      <c r="Q17" s="9">
        <f>(U2-R2)/P17</f>
        <v>0</v>
      </c>
      <c r="R17" s="9">
        <f>(U3-R3)/P17</f>
        <v>-1</v>
      </c>
      <c r="S17" s="12">
        <f t="shared" si="1"/>
        <v>0</v>
      </c>
    </row>
    <row r="19" spans="15:38">
      <c r="O19" s="37" t="s">
        <v>75</v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</row>
    <row r="21" spans="15:38">
      <c r="O21" s="38" t="s">
        <v>60</v>
      </c>
      <c r="P21" s="38"/>
      <c r="Q21" s="38"/>
      <c r="R21" s="38"/>
      <c r="T21" s="38" t="s">
        <v>66</v>
      </c>
      <c r="U21" s="38"/>
      <c r="V21" s="38"/>
      <c r="W21" s="38"/>
      <c r="Y21" s="38" t="s">
        <v>67</v>
      </c>
      <c r="Z21" s="38"/>
      <c r="AA21" s="38"/>
      <c r="AB21" s="38"/>
      <c r="AD21" s="38" t="s">
        <v>68</v>
      </c>
      <c r="AE21" s="38"/>
      <c r="AF21" s="38"/>
      <c r="AG21" s="38"/>
      <c r="AI21" s="38" t="s">
        <v>69</v>
      </c>
      <c r="AJ21" s="38"/>
      <c r="AK21" s="38"/>
      <c r="AL21" s="38"/>
    </row>
    <row r="22" spans="15:38">
      <c r="O22" s="11" t="s">
        <v>35</v>
      </c>
      <c r="P22" s="11" t="s">
        <v>36</v>
      </c>
      <c r="Q22" s="11" t="s">
        <v>25</v>
      </c>
      <c r="R22" s="11" t="s">
        <v>26</v>
      </c>
      <c r="T22" s="11" t="s">
        <v>29</v>
      </c>
      <c r="U22" s="11" t="s">
        <v>30</v>
      </c>
      <c r="V22" s="11" t="s">
        <v>31</v>
      </c>
      <c r="W22" s="11" t="s">
        <v>32</v>
      </c>
      <c r="Y22" s="11" t="s">
        <v>25</v>
      </c>
      <c r="Z22" s="11" t="s">
        <v>26</v>
      </c>
      <c r="AA22" s="11" t="s">
        <v>27</v>
      </c>
      <c r="AB22" s="11" t="s">
        <v>28</v>
      </c>
      <c r="AD22" s="11" t="s">
        <v>31</v>
      </c>
      <c r="AE22" s="11" t="s">
        <v>32</v>
      </c>
      <c r="AF22" s="11" t="s">
        <v>33</v>
      </c>
      <c r="AG22" s="11" t="s">
        <v>34</v>
      </c>
      <c r="AI22" s="11" t="s">
        <v>35</v>
      </c>
      <c r="AJ22" s="11" t="s">
        <v>36</v>
      </c>
      <c r="AK22" s="11" t="s">
        <v>31</v>
      </c>
      <c r="AL22" s="11" t="s">
        <v>32</v>
      </c>
    </row>
    <row r="23" spans="15:38">
      <c r="O23" s="9">
        <f>$Q8^2*$S8</f>
        <v>0</v>
      </c>
      <c r="P23" s="9">
        <f>$Q8*$R8*$S8</f>
        <v>0</v>
      </c>
      <c r="Q23" s="9">
        <f>-($Q8^2)*$S8</f>
        <v>0</v>
      </c>
      <c r="R23" s="9">
        <f>-$Q8*$R8*$S8</f>
        <v>0</v>
      </c>
      <c r="T23" s="9">
        <f>$Q9^2*$S9</f>
        <v>0</v>
      </c>
      <c r="U23" s="9">
        <f>$Q9*$R9*$S9</f>
        <v>0</v>
      </c>
      <c r="V23" s="9">
        <f>-($Q9^2)*$S9</f>
        <v>0</v>
      </c>
      <c r="W23" s="9">
        <f>-$Q9*$R9*$S9</f>
        <v>0</v>
      </c>
      <c r="Y23" s="9">
        <f>$Q10^2*$S10</f>
        <v>0</v>
      </c>
      <c r="Z23" s="9">
        <f>$Q10*$R10*$S10</f>
        <v>0</v>
      </c>
      <c r="AA23" s="9">
        <f>-($Q10^2)*$S10</f>
        <v>0</v>
      </c>
      <c r="AB23" s="9">
        <f>-$Q10*$R10*$S10</f>
        <v>0</v>
      </c>
      <c r="AD23" s="9">
        <f>$Q11^2*$S11</f>
        <v>0</v>
      </c>
      <c r="AE23" s="9">
        <f>$Q11*$R11*$S11</f>
        <v>0</v>
      </c>
      <c r="AF23" s="9">
        <f>-($Q11^2)*$S11</f>
        <v>0</v>
      </c>
      <c r="AG23" s="9">
        <f>-$Q11*$R11*$S11</f>
        <v>0</v>
      </c>
      <c r="AI23" s="9">
        <f>$Q12^2*$S12</f>
        <v>0</v>
      </c>
      <c r="AJ23" s="9">
        <f>$Q12*$R12*$S12</f>
        <v>0</v>
      </c>
      <c r="AK23" s="9">
        <f>-($Q12^2)*$S12</f>
        <v>0</v>
      </c>
      <c r="AL23" s="9">
        <f>-$Q12*$R12*$S12</f>
        <v>0</v>
      </c>
    </row>
    <row r="24" spans="15:38">
      <c r="O24" s="9">
        <f>P23</f>
        <v>0</v>
      </c>
      <c r="P24" s="9">
        <f>$R8^2*$S8</f>
        <v>0</v>
      </c>
      <c r="Q24" s="9">
        <f>R23</f>
        <v>0</v>
      </c>
      <c r="R24" s="9">
        <f>-($R8^2)*$S8</f>
        <v>0</v>
      </c>
      <c r="T24" s="9">
        <f>U23</f>
        <v>0</v>
      </c>
      <c r="U24" s="9">
        <f>$R9^2*$S9</f>
        <v>0</v>
      </c>
      <c r="V24" s="9">
        <f>W23</f>
        <v>0</v>
      </c>
      <c r="W24" s="9">
        <f>-($R9^2)*$S9</f>
        <v>0</v>
      </c>
      <c r="Y24" s="9">
        <f>Z23</f>
        <v>0</v>
      </c>
      <c r="Z24" s="9">
        <f>$R10^2*$S10</f>
        <v>0</v>
      </c>
      <c r="AA24" s="9">
        <f>AB23</f>
        <v>0</v>
      </c>
      <c r="AB24" s="9">
        <f>-($R10^2)*$S10</f>
        <v>0</v>
      </c>
      <c r="AD24" s="9">
        <f>AE23</f>
        <v>0</v>
      </c>
      <c r="AE24" s="9">
        <f>$R11^2*$S11</f>
        <v>0</v>
      </c>
      <c r="AF24" s="9">
        <f>AG23</f>
        <v>0</v>
      </c>
      <c r="AG24" s="9">
        <f>-($R11^2)*$S11</f>
        <v>0</v>
      </c>
      <c r="AI24" s="9">
        <f>AJ23</f>
        <v>0</v>
      </c>
      <c r="AJ24" s="9">
        <f>$R12^2*$S12</f>
        <v>0</v>
      </c>
      <c r="AK24" s="9">
        <f>AL23</f>
        <v>0</v>
      </c>
      <c r="AL24" s="9">
        <f>-($R12^2)*$S12</f>
        <v>0</v>
      </c>
    </row>
    <row r="25" spans="15:38">
      <c r="O25" s="9">
        <f>Q23</f>
        <v>0</v>
      </c>
      <c r="P25" s="9">
        <f>Q24</f>
        <v>0</v>
      </c>
      <c r="Q25" s="9">
        <f>O23</f>
        <v>0</v>
      </c>
      <c r="R25" s="9">
        <f>P23</f>
        <v>0</v>
      </c>
      <c r="T25" s="9">
        <f>V23</f>
        <v>0</v>
      </c>
      <c r="U25" s="9">
        <f>V24</f>
        <v>0</v>
      </c>
      <c r="V25" s="9">
        <f>T23</f>
        <v>0</v>
      </c>
      <c r="W25" s="9">
        <f>U23</f>
        <v>0</v>
      </c>
      <c r="Y25" s="9">
        <f>AA23</f>
        <v>0</v>
      </c>
      <c r="Z25" s="9">
        <f>AA24</f>
        <v>0</v>
      </c>
      <c r="AA25" s="9">
        <f>Y23</f>
        <v>0</v>
      </c>
      <c r="AB25" s="9">
        <f>Z23</f>
        <v>0</v>
      </c>
      <c r="AD25" s="9">
        <f>AF23</f>
        <v>0</v>
      </c>
      <c r="AE25" s="9">
        <f>AF24</f>
        <v>0</v>
      </c>
      <c r="AF25" s="9">
        <f>AD23</f>
        <v>0</v>
      </c>
      <c r="AG25" s="9">
        <f>AE23</f>
        <v>0</v>
      </c>
      <c r="AI25" s="9">
        <f>AK23</f>
        <v>0</v>
      </c>
      <c r="AJ25" s="9">
        <f>AK24</f>
        <v>0</v>
      </c>
      <c r="AK25" s="9">
        <f>AI23</f>
        <v>0</v>
      </c>
      <c r="AL25" s="9">
        <f>AJ23</f>
        <v>0</v>
      </c>
    </row>
    <row r="26" spans="15:38">
      <c r="O26" s="9">
        <f>R23</f>
        <v>0</v>
      </c>
      <c r="P26" s="9">
        <f>R24</f>
        <v>0</v>
      </c>
      <c r="Q26" s="9">
        <f>R25</f>
        <v>0</v>
      </c>
      <c r="R26" s="9">
        <f>P24</f>
        <v>0</v>
      </c>
      <c r="T26" s="9">
        <f>W23</f>
        <v>0</v>
      </c>
      <c r="U26" s="9">
        <f>W24</f>
        <v>0</v>
      </c>
      <c r="V26" s="9">
        <f>W25</f>
        <v>0</v>
      </c>
      <c r="W26" s="9">
        <f>U24</f>
        <v>0</v>
      </c>
      <c r="Y26" s="9">
        <f>AB23</f>
        <v>0</v>
      </c>
      <c r="Z26" s="9">
        <f>AB24</f>
        <v>0</v>
      </c>
      <c r="AA26" s="9">
        <f>AB25</f>
        <v>0</v>
      </c>
      <c r="AB26" s="9">
        <f>Z24</f>
        <v>0</v>
      </c>
      <c r="AD26" s="9">
        <f>AG23</f>
        <v>0</v>
      </c>
      <c r="AE26" s="9">
        <f>AG24</f>
        <v>0</v>
      </c>
      <c r="AF26" s="9">
        <f>AG25</f>
        <v>0</v>
      </c>
      <c r="AG26" s="9">
        <f>AE24</f>
        <v>0</v>
      </c>
      <c r="AI26" s="9">
        <f>AL23</f>
        <v>0</v>
      </c>
      <c r="AJ26" s="9">
        <f>AL24</f>
        <v>0</v>
      </c>
      <c r="AK26" s="9">
        <f>AL25</f>
        <v>0</v>
      </c>
      <c r="AL26" s="9">
        <f>AJ24</f>
        <v>0</v>
      </c>
    </row>
    <row r="28" spans="15:38">
      <c r="O28" s="38" t="s">
        <v>70</v>
      </c>
      <c r="P28" s="38"/>
      <c r="Q28" s="38"/>
      <c r="R28" s="38"/>
      <c r="T28" s="38" t="s">
        <v>71</v>
      </c>
      <c r="U28" s="38"/>
      <c r="V28" s="38"/>
      <c r="W28" s="38"/>
      <c r="Y28" s="38" t="s">
        <v>72</v>
      </c>
      <c r="Z28" s="38"/>
      <c r="AA28" s="38"/>
      <c r="AB28" s="38"/>
      <c r="AD28" s="38" t="s">
        <v>73</v>
      </c>
      <c r="AE28" s="38"/>
      <c r="AF28" s="38"/>
      <c r="AG28" s="38"/>
      <c r="AI28" s="38" t="s">
        <v>74</v>
      </c>
      <c r="AJ28" s="38"/>
      <c r="AK28" s="38"/>
      <c r="AL28" s="38"/>
    </row>
    <row r="29" spans="15:38">
      <c r="O29" s="11" t="s">
        <v>25</v>
      </c>
      <c r="P29" s="11" t="s">
        <v>26</v>
      </c>
      <c r="Q29" s="11" t="s">
        <v>29</v>
      </c>
      <c r="R29" s="11" t="s">
        <v>30</v>
      </c>
      <c r="T29" s="11" t="s">
        <v>25</v>
      </c>
      <c r="U29" s="11" t="s">
        <v>26</v>
      </c>
      <c r="V29" s="11" t="s">
        <v>33</v>
      </c>
      <c r="W29" s="11" t="s">
        <v>34</v>
      </c>
      <c r="Y29" s="11" t="s">
        <v>27</v>
      </c>
      <c r="Z29" s="11" t="s">
        <v>28</v>
      </c>
      <c r="AA29" s="11" t="s">
        <v>31</v>
      </c>
      <c r="AB29" s="11" t="s">
        <v>32</v>
      </c>
      <c r="AD29" s="11" t="s">
        <v>25</v>
      </c>
      <c r="AE29" s="11" t="s">
        <v>26</v>
      </c>
      <c r="AF29" s="11" t="s">
        <v>31</v>
      </c>
      <c r="AG29" s="11" t="s">
        <v>32</v>
      </c>
      <c r="AI29" s="11" t="s">
        <v>27</v>
      </c>
      <c r="AJ29" s="11" t="s">
        <v>28</v>
      </c>
      <c r="AK29" s="11" t="s">
        <v>33</v>
      </c>
      <c r="AL29" s="11" t="s">
        <v>34</v>
      </c>
    </row>
    <row r="30" spans="15:38">
      <c r="O30" s="9">
        <f>$Q13^2*$S13</f>
        <v>0</v>
      </c>
      <c r="P30" s="9">
        <f>$Q13*$R13*$S13</f>
        <v>0</v>
      </c>
      <c r="Q30" s="9">
        <f>-($Q13^2)*$S13</f>
        <v>0</v>
      </c>
      <c r="R30" s="9">
        <f>-$Q13*$R13*$S13</f>
        <v>0</v>
      </c>
      <c r="T30" s="9">
        <f>$Q14^2*$S14</f>
        <v>0</v>
      </c>
      <c r="U30" s="9">
        <f>$Q14*$R14*$S14</f>
        <v>0</v>
      </c>
      <c r="V30" s="9">
        <f>-($Q14^2)*$S14</f>
        <v>0</v>
      </c>
      <c r="W30" s="9">
        <f>-$Q14*$R14*$S14</f>
        <v>0</v>
      </c>
      <c r="Y30" s="9">
        <f>$Q15^2*$S15</f>
        <v>0</v>
      </c>
      <c r="Z30" s="9">
        <f>$Q15*$R15*$S15</f>
        <v>0</v>
      </c>
      <c r="AA30" s="9">
        <f>-($Q15^2)*$S15</f>
        <v>0</v>
      </c>
      <c r="AB30" s="9">
        <f>-$Q15*$R15*$S15</f>
        <v>0</v>
      </c>
      <c r="AD30" s="9">
        <f>$Q16^2*$S16</f>
        <v>0</v>
      </c>
      <c r="AE30" s="9">
        <f>$Q16*$R16*$S16</f>
        <v>0</v>
      </c>
      <c r="AF30" s="9">
        <f>-($Q16^2)*$S16</f>
        <v>0</v>
      </c>
      <c r="AG30" s="9">
        <f>-$Q16*$R16*$S16</f>
        <v>0</v>
      </c>
      <c r="AI30" s="9">
        <f>$Q17^2*$S17</f>
        <v>0</v>
      </c>
      <c r="AJ30" s="9">
        <f>$Q17*$R17*$S17</f>
        <v>0</v>
      </c>
      <c r="AK30" s="9">
        <f>-($Q17^2)*$S17</f>
        <v>0</v>
      </c>
      <c r="AL30" s="9">
        <f>-$Q17*$R17*$S17</f>
        <v>0</v>
      </c>
    </row>
    <row r="31" spans="15:38">
      <c r="O31" s="9">
        <f>P30</f>
        <v>0</v>
      </c>
      <c r="P31" s="9">
        <f>$R13^2*$S13</f>
        <v>0</v>
      </c>
      <c r="Q31" s="9">
        <f>R30</f>
        <v>0</v>
      </c>
      <c r="R31" s="9">
        <f>-($R13^2)*$S13</f>
        <v>0</v>
      </c>
      <c r="T31" s="9">
        <f>U30</f>
        <v>0</v>
      </c>
      <c r="U31" s="9">
        <f>$R14^2*$S14</f>
        <v>0</v>
      </c>
      <c r="V31" s="9">
        <f>W30</f>
        <v>0</v>
      </c>
      <c r="W31" s="9">
        <f>-($R14^2)*$S14</f>
        <v>0</v>
      </c>
      <c r="Y31" s="9">
        <f>Z30</f>
        <v>0</v>
      </c>
      <c r="Z31" s="9">
        <f>$R15^2*$S15</f>
        <v>0</v>
      </c>
      <c r="AA31" s="9">
        <f>AB30</f>
        <v>0</v>
      </c>
      <c r="AB31" s="9">
        <f>-($R15^2)*$S15</f>
        <v>0</v>
      </c>
      <c r="AD31" s="9">
        <f>AE30</f>
        <v>0</v>
      </c>
      <c r="AE31" s="9">
        <f>$R16^2*$S16</f>
        <v>0</v>
      </c>
      <c r="AF31" s="9">
        <f>AG30</f>
        <v>0</v>
      </c>
      <c r="AG31" s="9">
        <f>-($R16^2)*$S16</f>
        <v>0</v>
      </c>
      <c r="AI31" s="9">
        <f>AJ30</f>
        <v>0</v>
      </c>
      <c r="AJ31" s="9">
        <f>$R17^2*$S17</f>
        <v>0</v>
      </c>
      <c r="AK31" s="9">
        <f>AL30</f>
        <v>0</v>
      </c>
      <c r="AL31" s="9">
        <f>-($R17^2)*$S17</f>
        <v>0</v>
      </c>
    </row>
    <row r="32" spans="15:38">
      <c r="O32" s="9">
        <f>Q30</f>
        <v>0</v>
      </c>
      <c r="P32" s="9">
        <f>Q31</f>
        <v>0</v>
      </c>
      <c r="Q32" s="9">
        <f>O30</f>
        <v>0</v>
      </c>
      <c r="R32" s="9">
        <f>P30</f>
        <v>0</v>
      </c>
      <c r="T32" s="9">
        <f>V30</f>
        <v>0</v>
      </c>
      <c r="U32" s="9">
        <f>V31</f>
        <v>0</v>
      </c>
      <c r="V32" s="9">
        <f>T30</f>
        <v>0</v>
      </c>
      <c r="W32" s="9">
        <f>U30</f>
        <v>0</v>
      </c>
      <c r="Y32" s="9">
        <f>AA30</f>
        <v>0</v>
      </c>
      <c r="Z32" s="9">
        <f>AA31</f>
        <v>0</v>
      </c>
      <c r="AA32" s="9">
        <f>Y30</f>
        <v>0</v>
      </c>
      <c r="AB32" s="9">
        <f>Z30</f>
        <v>0</v>
      </c>
      <c r="AD32" s="9">
        <f>AF30</f>
        <v>0</v>
      </c>
      <c r="AE32" s="9">
        <f>AF31</f>
        <v>0</v>
      </c>
      <c r="AF32" s="9">
        <f>AD30</f>
        <v>0</v>
      </c>
      <c r="AG32" s="9">
        <f>AE30</f>
        <v>0</v>
      </c>
      <c r="AI32" s="9">
        <f>AK30</f>
        <v>0</v>
      </c>
      <c r="AJ32" s="9">
        <f>AK31</f>
        <v>0</v>
      </c>
      <c r="AK32" s="9">
        <f>AI30</f>
        <v>0</v>
      </c>
      <c r="AL32" s="9">
        <f>AJ30</f>
        <v>0</v>
      </c>
    </row>
    <row r="33" spans="14:38">
      <c r="O33" s="9">
        <f>R30</f>
        <v>0</v>
      </c>
      <c r="P33" s="9">
        <f>R31</f>
        <v>0</v>
      </c>
      <c r="Q33" s="9">
        <f>R32</f>
        <v>0</v>
      </c>
      <c r="R33" s="9">
        <f>P31</f>
        <v>0</v>
      </c>
      <c r="T33" s="9">
        <f>W30</f>
        <v>0</v>
      </c>
      <c r="U33" s="9">
        <f>W31</f>
        <v>0</v>
      </c>
      <c r="V33" s="9">
        <f>W32</f>
        <v>0</v>
      </c>
      <c r="W33" s="9">
        <f>U31</f>
        <v>0</v>
      </c>
      <c r="Y33" s="9">
        <f>AB30</f>
        <v>0</v>
      </c>
      <c r="Z33" s="9">
        <f>AB31</f>
        <v>0</v>
      </c>
      <c r="AA33" s="9">
        <f>AB32</f>
        <v>0</v>
      </c>
      <c r="AB33" s="9">
        <f>Z31</f>
        <v>0</v>
      </c>
      <c r="AD33" s="9">
        <f>AG30</f>
        <v>0</v>
      </c>
      <c r="AE33" s="9">
        <f>AG31</f>
        <v>0</v>
      </c>
      <c r="AF33" s="9">
        <f>AG32</f>
        <v>0</v>
      </c>
      <c r="AG33" s="9">
        <f>AE31</f>
        <v>0</v>
      </c>
      <c r="AI33" s="9">
        <f>AL30</f>
        <v>0</v>
      </c>
      <c r="AJ33" s="9">
        <f>AL31</f>
        <v>0</v>
      </c>
      <c r="AK33" s="9">
        <f>AL32</f>
        <v>0</v>
      </c>
      <c r="AL33" s="9">
        <f>AJ31</f>
        <v>0</v>
      </c>
    </row>
    <row r="35" spans="14:38">
      <c r="O35" s="38" t="s">
        <v>24</v>
      </c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B35" s="38" t="s">
        <v>21</v>
      </c>
      <c r="AC35" s="38"/>
      <c r="AD35" s="38"/>
      <c r="AE35" s="38"/>
      <c r="AF35" s="38"/>
      <c r="AG35" s="38"/>
      <c r="AH35" s="38"/>
      <c r="AI35" s="38"/>
    </row>
    <row r="36" spans="14:38">
      <c r="O36" s="11" t="s">
        <v>35</v>
      </c>
      <c r="P36" s="11" t="s">
        <v>36</v>
      </c>
      <c r="Q36" s="11" t="s">
        <v>25</v>
      </c>
      <c r="R36" s="11" t="s">
        <v>26</v>
      </c>
      <c r="S36" s="11" t="s">
        <v>27</v>
      </c>
      <c r="T36" s="11" t="s">
        <v>28</v>
      </c>
      <c r="U36" s="11" t="s">
        <v>29</v>
      </c>
      <c r="V36" s="11" t="s">
        <v>30</v>
      </c>
      <c r="W36" s="11" t="s">
        <v>31</v>
      </c>
      <c r="X36" s="11" t="s">
        <v>32</v>
      </c>
      <c r="Y36" s="11" t="s">
        <v>33</v>
      </c>
      <c r="Z36" s="11" t="s">
        <v>34</v>
      </c>
      <c r="AB36" s="11" t="s">
        <v>25</v>
      </c>
      <c r="AC36" s="11" t="s">
        <v>26</v>
      </c>
      <c r="AD36" s="11" t="s">
        <v>27</v>
      </c>
      <c r="AE36" s="11" t="s">
        <v>28</v>
      </c>
      <c r="AF36" s="11" t="s">
        <v>31</v>
      </c>
      <c r="AG36" s="11" t="s">
        <v>32</v>
      </c>
      <c r="AH36" s="11" t="s">
        <v>33</v>
      </c>
      <c r="AI36" s="11" t="s">
        <v>34</v>
      </c>
    </row>
    <row r="37" spans="14:38">
      <c r="N37" s="14"/>
      <c r="O37" s="9">
        <f>O23+AI23</f>
        <v>0</v>
      </c>
      <c r="P37" s="9">
        <f>P23+AJ23</f>
        <v>0</v>
      </c>
      <c r="Q37" s="9">
        <f>Q23</f>
        <v>0</v>
      </c>
      <c r="R37" s="9">
        <f>R23</f>
        <v>0</v>
      </c>
      <c r="S37" s="9">
        <v>0</v>
      </c>
      <c r="T37" s="9">
        <v>0</v>
      </c>
      <c r="U37" s="9">
        <v>0</v>
      </c>
      <c r="V37" s="9">
        <v>0</v>
      </c>
      <c r="W37" s="9">
        <f>AK23</f>
        <v>0</v>
      </c>
      <c r="X37" s="9">
        <f>AL23</f>
        <v>0</v>
      </c>
      <c r="Y37" s="9">
        <v>0</v>
      </c>
      <c r="Z37" s="9">
        <v>0</v>
      </c>
      <c r="AA37" s="13"/>
      <c r="AB37" s="9">
        <f t="shared" ref="AB37:AE40" si="2">Q39</f>
        <v>0</v>
      </c>
      <c r="AC37" s="9">
        <f t="shared" si="2"/>
        <v>0</v>
      </c>
      <c r="AD37" s="9">
        <f t="shared" si="2"/>
        <v>0</v>
      </c>
      <c r="AE37" s="9">
        <f t="shared" si="2"/>
        <v>0</v>
      </c>
      <c r="AF37" s="9">
        <f t="shared" ref="AF37:AI40" si="3">W39</f>
        <v>0</v>
      </c>
      <c r="AG37" s="9">
        <f t="shared" si="3"/>
        <v>0</v>
      </c>
      <c r="AH37" s="9">
        <f t="shared" si="3"/>
        <v>0</v>
      </c>
      <c r="AI37" s="9">
        <f t="shared" si="3"/>
        <v>0</v>
      </c>
    </row>
    <row r="38" spans="14:38">
      <c r="N38" s="14"/>
      <c r="O38" s="9">
        <f>O24+AI24</f>
        <v>0</v>
      </c>
      <c r="P38" s="9">
        <f>P24+AJ24</f>
        <v>0</v>
      </c>
      <c r="Q38" s="9">
        <f>Q24</f>
        <v>0</v>
      </c>
      <c r="R38" s="9">
        <f>R24</f>
        <v>0</v>
      </c>
      <c r="S38" s="9">
        <v>0</v>
      </c>
      <c r="T38" s="9">
        <v>0</v>
      </c>
      <c r="U38" s="9">
        <v>0</v>
      </c>
      <c r="V38" s="9">
        <v>0</v>
      </c>
      <c r="W38" s="9">
        <f>AK24</f>
        <v>0</v>
      </c>
      <c r="X38" s="9">
        <f>AL24</f>
        <v>0</v>
      </c>
      <c r="Y38" s="9">
        <v>0</v>
      </c>
      <c r="Z38" s="9">
        <v>0</v>
      </c>
      <c r="AA38" s="13"/>
      <c r="AB38" s="9">
        <f t="shared" si="2"/>
        <v>0</v>
      </c>
      <c r="AC38" s="9">
        <f t="shared" si="2"/>
        <v>0</v>
      </c>
      <c r="AD38" s="9">
        <f t="shared" si="2"/>
        <v>0</v>
      </c>
      <c r="AE38" s="9">
        <f t="shared" si="2"/>
        <v>0</v>
      </c>
      <c r="AF38" s="9">
        <f t="shared" si="3"/>
        <v>0</v>
      </c>
      <c r="AG38" s="9">
        <f t="shared" si="3"/>
        <v>0</v>
      </c>
      <c r="AH38" s="9">
        <f t="shared" si="3"/>
        <v>0</v>
      </c>
      <c r="AI38" s="9">
        <f t="shared" si="3"/>
        <v>0</v>
      </c>
    </row>
    <row r="39" spans="14:38">
      <c r="N39" s="14"/>
      <c r="O39" s="9">
        <f>O25</f>
        <v>0</v>
      </c>
      <c r="P39" s="9">
        <f>P25</f>
        <v>0</v>
      </c>
      <c r="Q39" s="15">
        <f>Q25+T30+O30+Y23+AD30</f>
        <v>0</v>
      </c>
      <c r="R39" s="15">
        <f>R25+P30+U30+Z23+AE30</f>
        <v>0</v>
      </c>
      <c r="S39" s="15">
        <f>AA23</f>
        <v>0</v>
      </c>
      <c r="T39" s="15">
        <f>AB23</f>
        <v>0</v>
      </c>
      <c r="U39" s="9">
        <f>Q30</f>
        <v>0</v>
      </c>
      <c r="V39" s="9">
        <f>R30</f>
        <v>0</v>
      </c>
      <c r="W39" s="16">
        <f>AF30</f>
        <v>0</v>
      </c>
      <c r="X39" s="16">
        <f>AG30</f>
        <v>0</v>
      </c>
      <c r="Y39" s="16">
        <f>V30</f>
        <v>0</v>
      </c>
      <c r="Z39" s="16">
        <f>W30</f>
        <v>0</v>
      </c>
      <c r="AA39" s="13"/>
      <c r="AB39" s="9">
        <f t="shared" si="2"/>
        <v>0</v>
      </c>
      <c r="AC39" s="9">
        <f t="shared" si="2"/>
        <v>0</v>
      </c>
      <c r="AD39" s="9">
        <f t="shared" si="2"/>
        <v>0</v>
      </c>
      <c r="AE39" s="9">
        <f t="shared" si="2"/>
        <v>0</v>
      </c>
      <c r="AF39" s="9">
        <f t="shared" si="3"/>
        <v>0</v>
      </c>
      <c r="AG39" s="9">
        <f t="shared" si="3"/>
        <v>0</v>
      </c>
      <c r="AH39" s="9">
        <f t="shared" si="3"/>
        <v>0</v>
      </c>
      <c r="AI39" s="9">
        <f t="shared" si="3"/>
        <v>0</v>
      </c>
    </row>
    <row r="40" spans="14:38">
      <c r="N40" s="14"/>
      <c r="O40" s="9">
        <f>O26</f>
        <v>0</v>
      </c>
      <c r="P40" s="9">
        <f>P26</f>
        <v>0</v>
      </c>
      <c r="Q40" s="15">
        <f>Q26+O31+T31+Y24+AD31</f>
        <v>0</v>
      </c>
      <c r="R40" s="15">
        <f>R26+P31+U31+Z24+AE31</f>
        <v>0</v>
      </c>
      <c r="S40" s="15">
        <f t="shared" ref="S40:T40" si="4">AA24</f>
        <v>0</v>
      </c>
      <c r="T40" s="15">
        <f t="shared" si="4"/>
        <v>0</v>
      </c>
      <c r="U40" s="9">
        <f>Q31</f>
        <v>0</v>
      </c>
      <c r="V40" s="9">
        <f>R31</f>
        <v>0</v>
      </c>
      <c r="W40" s="16">
        <f>AF31</f>
        <v>0</v>
      </c>
      <c r="X40" s="16">
        <f>AG31</f>
        <v>0</v>
      </c>
      <c r="Y40" s="16">
        <f>V31</f>
        <v>0</v>
      </c>
      <c r="Z40" s="16">
        <f>W31</f>
        <v>0</v>
      </c>
      <c r="AA40" s="13"/>
      <c r="AB40" s="9">
        <f t="shared" si="2"/>
        <v>0</v>
      </c>
      <c r="AC40" s="9">
        <f t="shared" si="2"/>
        <v>0</v>
      </c>
      <c r="AD40" s="9">
        <f t="shared" si="2"/>
        <v>0</v>
      </c>
      <c r="AE40" s="9">
        <f t="shared" si="2"/>
        <v>0</v>
      </c>
      <c r="AF40" s="9">
        <f t="shared" si="3"/>
        <v>0</v>
      </c>
      <c r="AG40" s="9">
        <f t="shared" si="3"/>
        <v>0</v>
      </c>
      <c r="AH40" s="9">
        <f t="shared" si="3"/>
        <v>0</v>
      </c>
      <c r="AI40" s="9">
        <f t="shared" si="3"/>
        <v>0</v>
      </c>
    </row>
    <row r="41" spans="14:38">
      <c r="N41" s="14"/>
      <c r="O41" s="9">
        <v>0</v>
      </c>
      <c r="P41" s="9">
        <v>0</v>
      </c>
      <c r="Q41" s="15">
        <f>Y25</f>
        <v>0</v>
      </c>
      <c r="R41" s="15">
        <f>Z25</f>
        <v>0</v>
      </c>
      <c r="S41" s="15">
        <f>AA25+Y30+AI30</f>
        <v>0</v>
      </c>
      <c r="T41" s="15">
        <f>AB25+Z30+AJ30</f>
        <v>0</v>
      </c>
      <c r="U41" s="9">
        <v>0</v>
      </c>
      <c r="V41" s="9">
        <v>0</v>
      </c>
      <c r="W41" s="16">
        <f>AA30</f>
        <v>0</v>
      </c>
      <c r="X41" s="16">
        <f>AB30</f>
        <v>0</v>
      </c>
      <c r="Y41" s="16">
        <f>AK30</f>
        <v>0</v>
      </c>
      <c r="Z41" s="16">
        <f>AL30</f>
        <v>0</v>
      </c>
      <c r="AA41" s="13"/>
      <c r="AB41" s="9">
        <f t="shared" ref="AB41:AE44" si="5">Q45</f>
        <v>0</v>
      </c>
      <c r="AC41" s="9">
        <f t="shared" si="5"/>
        <v>0</v>
      </c>
      <c r="AD41" s="9">
        <f t="shared" si="5"/>
        <v>0</v>
      </c>
      <c r="AE41" s="9">
        <f t="shared" si="5"/>
        <v>0</v>
      </c>
      <c r="AF41" s="9">
        <f t="shared" ref="AF41:AI44" si="6">W45</f>
        <v>0</v>
      </c>
      <c r="AG41" s="9">
        <f t="shared" si="6"/>
        <v>0</v>
      </c>
      <c r="AH41" s="9">
        <f t="shared" si="6"/>
        <v>0</v>
      </c>
      <c r="AI41" s="9">
        <f t="shared" si="6"/>
        <v>0</v>
      </c>
    </row>
    <row r="42" spans="14:38">
      <c r="N42" s="14"/>
      <c r="O42" s="9">
        <v>0</v>
      </c>
      <c r="P42" s="9">
        <v>0</v>
      </c>
      <c r="Q42" s="15">
        <f>Y26</f>
        <v>0</v>
      </c>
      <c r="R42" s="15">
        <f>Z26</f>
        <v>0</v>
      </c>
      <c r="S42" s="15">
        <f>AA26+Y31+AI31</f>
        <v>0</v>
      </c>
      <c r="T42" s="15">
        <f>AB26+Z31+AJ31</f>
        <v>0</v>
      </c>
      <c r="U42" s="9">
        <v>0</v>
      </c>
      <c r="V42" s="9">
        <v>0</v>
      </c>
      <c r="W42" s="16">
        <f>AA31</f>
        <v>0</v>
      </c>
      <c r="X42" s="16">
        <f>AB31</f>
        <v>0</v>
      </c>
      <c r="Y42" s="16">
        <f>AK31</f>
        <v>0</v>
      </c>
      <c r="Z42" s="16">
        <f>AL31</f>
        <v>0</v>
      </c>
      <c r="AA42" s="13"/>
      <c r="AB42" s="9">
        <f t="shared" si="5"/>
        <v>0</v>
      </c>
      <c r="AC42" s="9">
        <f t="shared" si="5"/>
        <v>0</v>
      </c>
      <c r="AD42" s="9">
        <f t="shared" si="5"/>
        <v>0</v>
      </c>
      <c r="AE42" s="9">
        <f t="shared" si="5"/>
        <v>0</v>
      </c>
      <c r="AF42" s="9">
        <f t="shared" si="6"/>
        <v>0</v>
      </c>
      <c r="AG42" s="9">
        <f t="shared" si="6"/>
        <v>0</v>
      </c>
      <c r="AH42" s="9">
        <f t="shared" si="6"/>
        <v>0</v>
      </c>
      <c r="AI42" s="9">
        <f t="shared" si="6"/>
        <v>0</v>
      </c>
    </row>
    <row r="43" spans="14:38">
      <c r="N43" s="14"/>
      <c r="O43" s="9">
        <v>0</v>
      </c>
      <c r="P43" s="9">
        <v>0</v>
      </c>
      <c r="Q43" s="9">
        <f>O32</f>
        <v>0</v>
      </c>
      <c r="R43" s="9">
        <f>P32</f>
        <v>0</v>
      </c>
      <c r="S43" s="9">
        <v>0</v>
      </c>
      <c r="T43" s="9">
        <v>0</v>
      </c>
      <c r="U43" s="9">
        <f>Q32+T23</f>
        <v>0</v>
      </c>
      <c r="V43" s="9">
        <f>R32+U23</f>
        <v>0</v>
      </c>
      <c r="W43" s="9">
        <f>V23</f>
        <v>0</v>
      </c>
      <c r="X43" s="9">
        <f>W23</f>
        <v>0</v>
      </c>
      <c r="Y43" s="9">
        <v>0</v>
      </c>
      <c r="Z43" s="9">
        <v>0</v>
      </c>
      <c r="AA43" s="13"/>
      <c r="AB43" s="9">
        <f t="shared" si="5"/>
        <v>0</v>
      </c>
      <c r="AC43" s="9">
        <f t="shared" si="5"/>
        <v>0</v>
      </c>
      <c r="AD43" s="9">
        <f t="shared" si="5"/>
        <v>0</v>
      </c>
      <c r="AE43" s="9">
        <f t="shared" si="5"/>
        <v>0</v>
      </c>
      <c r="AF43" s="9">
        <f t="shared" si="6"/>
        <v>0</v>
      </c>
      <c r="AG43" s="9">
        <f t="shared" si="6"/>
        <v>0</v>
      </c>
      <c r="AH43" s="9">
        <f t="shared" si="6"/>
        <v>0</v>
      </c>
      <c r="AI43" s="9">
        <f t="shared" si="6"/>
        <v>0</v>
      </c>
    </row>
    <row r="44" spans="14:38">
      <c r="N44" s="14"/>
      <c r="O44" s="9">
        <v>0</v>
      </c>
      <c r="P44" s="9">
        <v>0</v>
      </c>
      <c r="Q44" s="9">
        <f>O33</f>
        <v>0</v>
      </c>
      <c r="R44" s="9">
        <f>P33</f>
        <v>0</v>
      </c>
      <c r="S44" s="9">
        <v>0</v>
      </c>
      <c r="T44" s="9">
        <v>0</v>
      </c>
      <c r="U44" s="9">
        <f>Q33+T24</f>
        <v>0</v>
      </c>
      <c r="V44" s="9">
        <f>R33+U24</f>
        <v>0</v>
      </c>
      <c r="W44" s="9">
        <f>V24</f>
        <v>0</v>
      </c>
      <c r="X44" s="9">
        <f>W24</f>
        <v>0</v>
      </c>
      <c r="Y44" s="9">
        <v>0</v>
      </c>
      <c r="Z44" s="9">
        <v>0</v>
      </c>
      <c r="AA44" s="13"/>
      <c r="AB44" s="9">
        <f t="shared" si="5"/>
        <v>0</v>
      </c>
      <c r="AC44" s="9">
        <f t="shared" si="5"/>
        <v>0</v>
      </c>
      <c r="AD44" s="9">
        <f t="shared" si="5"/>
        <v>0</v>
      </c>
      <c r="AE44" s="9">
        <f t="shared" si="5"/>
        <v>0</v>
      </c>
      <c r="AF44" s="9">
        <f t="shared" si="6"/>
        <v>0</v>
      </c>
      <c r="AG44" s="9">
        <f t="shared" si="6"/>
        <v>0</v>
      </c>
      <c r="AH44" s="9">
        <f t="shared" si="6"/>
        <v>0</v>
      </c>
      <c r="AI44" s="9">
        <f t="shared" si="6"/>
        <v>0</v>
      </c>
    </row>
    <row r="45" spans="14:38">
      <c r="N45" s="14"/>
      <c r="O45" s="9">
        <f>AI25</f>
        <v>0</v>
      </c>
      <c r="P45" s="9">
        <f>AJ25</f>
        <v>0</v>
      </c>
      <c r="Q45" s="16">
        <f>AD32</f>
        <v>0</v>
      </c>
      <c r="R45" s="16">
        <f>AE32</f>
        <v>0</v>
      </c>
      <c r="S45" s="16">
        <f>Y32</f>
        <v>0</v>
      </c>
      <c r="T45" s="16">
        <f>Z32</f>
        <v>0</v>
      </c>
      <c r="U45" s="9">
        <f>T25</f>
        <v>0</v>
      </c>
      <c r="V45" s="9">
        <f>U25</f>
        <v>0</v>
      </c>
      <c r="W45" s="16">
        <f>V25+AA32+AD23+AF32+AK25</f>
        <v>0</v>
      </c>
      <c r="X45" s="16">
        <f>W25+AB32+AE23+AG32+AL25</f>
        <v>0</v>
      </c>
      <c r="Y45" s="16">
        <f>AF23</f>
        <v>0</v>
      </c>
      <c r="Z45" s="16">
        <f>AG23</f>
        <v>0</v>
      </c>
      <c r="AA45" s="13"/>
    </row>
    <row r="46" spans="14:38">
      <c r="N46" s="14"/>
      <c r="O46" s="9">
        <f>AI26</f>
        <v>0</v>
      </c>
      <c r="P46" s="9">
        <f>AJ26</f>
        <v>0</v>
      </c>
      <c r="Q46" s="16">
        <f>AD33</f>
        <v>0</v>
      </c>
      <c r="R46" s="16">
        <f>AE33</f>
        <v>0</v>
      </c>
      <c r="S46" s="16">
        <f>Y33</f>
        <v>0</v>
      </c>
      <c r="T46" s="16">
        <f>Z33</f>
        <v>0</v>
      </c>
      <c r="U46" s="9">
        <f>T26</f>
        <v>0</v>
      </c>
      <c r="V46" s="9">
        <f>U26</f>
        <v>0</v>
      </c>
      <c r="W46" s="16">
        <f>V26+AA33+AD24+AF33+AK26</f>
        <v>0</v>
      </c>
      <c r="X46" s="16">
        <f>W26+AB33+AE24+AG33+AL26</f>
        <v>0</v>
      </c>
      <c r="Y46" s="16">
        <f>AF24</f>
        <v>0</v>
      </c>
      <c r="Z46" s="16">
        <f>AG24</f>
        <v>0</v>
      </c>
      <c r="AA46" s="13"/>
    </row>
    <row r="47" spans="14:38">
      <c r="N47" s="14"/>
      <c r="O47" s="9">
        <v>0</v>
      </c>
      <c r="P47" s="9">
        <v>0</v>
      </c>
      <c r="Q47" s="16">
        <f>T32</f>
        <v>0</v>
      </c>
      <c r="R47" s="16">
        <f>U32</f>
        <v>0</v>
      </c>
      <c r="S47" s="16">
        <f>AI32</f>
        <v>0</v>
      </c>
      <c r="T47" s="16">
        <f>AJ32</f>
        <v>0</v>
      </c>
      <c r="U47" s="9">
        <v>0</v>
      </c>
      <c r="V47" s="9">
        <v>0</v>
      </c>
      <c r="W47" s="16">
        <f>AD25</f>
        <v>0</v>
      </c>
      <c r="X47" s="16">
        <f>AE25</f>
        <v>0</v>
      </c>
      <c r="Y47" s="16">
        <f>AF25+V32+AK32</f>
        <v>0</v>
      </c>
      <c r="Z47" s="16">
        <f>AG25+W32+AL32</f>
        <v>0</v>
      </c>
      <c r="AA47" s="13"/>
      <c r="AB47" s="11" t="s">
        <v>37</v>
      </c>
    </row>
    <row r="48" spans="14:38">
      <c r="N48" s="14"/>
      <c r="O48" s="9">
        <v>0</v>
      </c>
      <c r="P48" s="9">
        <v>0</v>
      </c>
      <c r="Q48" s="16">
        <f>T33</f>
        <v>0</v>
      </c>
      <c r="R48" s="16">
        <f>U33</f>
        <v>0</v>
      </c>
      <c r="S48" s="16">
        <f>AI33</f>
        <v>0</v>
      </c>
      <c r="T48" s="16">
        <f>AJ33</f>
        <v>0</v>
      </c>
      <c r="U48" s="9">
        <v>0</v>
      </c>
      <c r="V48" s="9">
        <v>0</v>
      </c>
      <c r="W48" s="16">
        <f>AD26</f>
        <v>0</v>
      </c>
      <c r="X48" s="16">
        <f>AE26</f>
        <v>0</v>
      </c>
      <c r="Y48" s="16">
        <f>AF26+V33+AK33</f>
        <v>0</v>
      </c>
      <c r="Z48" s="16">
        <f>AG26+W33+AL33</f>
        <v>0</v>
      </c>
      <c r="AA48" s="13"/>
      <c r="AB48" s="9">
        <v>0</v>
      </c>
    </row>
    <row r="49" spans="15:38">
      <c r="AB49" s="9">
        <v>0</v>
      </c>
    </row>
    <row r="50" spans="15:38">
      <c r="O50" s="38" t="s">
        <v>76</v>
      </c>
      <c r="P50" s="38"/>
      <c r="Q50" s="38"/>
      <c r="R50" s="38"/>
      <c r="S50" s="38"/>
      <c r="T50" s="38"/>
      <c r="U50" s="38"/>
      <c r="V50" s="38"/>
      <c r="AB50" s="9" t="e">
        <f>Z52</f>
        <v>#NUM!</v>
      </c>
    </row>
    <row r="51" spans="15:38">
      <c r="O51" s="11" t="s">
        <v>25</v>
      </c>
      <c r="P51" s="11" t="s">
        <v>26</v>
      </c>
      <c r="Q51" s="11" t="s">
        <v>27</v>
      </c>
      <c r="R51" s="11" t="s">
        <v>28</v>
      </c>
      <c r="S51" s="11" t="s">
        <v>31</v>
      </c>
      <c r="T51" s="11" t="s">
        <v>32</v>
      </c>
      <c r="U51" s="11" t="s">
        <v>33</v>
      </c>
      <c r="V51" s="11" t="s">
        <v>34</v>
      </c>
      <c r="X51" s="11" t="s">
        <v>19</v>
      </c>
      <c r="Z51" s="11" t="s">
        <v>20</v>
      </c>
      <c r="AB51" s="9" t="e">
        <f>Z53</f>
        <v>#NUM!</v>
      </c>
    </row>
    <row r="52" spans="15:38">
      <c r="O52" s="9" t="e">
        <f t="array" ref="O52:V59">MINVERSE(AB37:AI44)</f>
        <v>#NUM!</v>
      </c>
      <c r="P52" s="9" t="e">
        <v>#NUM!</v>
      </c>
      <c r="Q52" s="9" t="e">
        <v>#NUM!</v>
      </c>
      <c r="R52" s="9" t="e">
        <v>#NUM!</v>
      </c>
      <c r="S52" s="9" t="e">
        <v>#NUM!</v>
      </c>
      <c r="T52" s="9" t="e">
        <v>#NUM!</v>
      </c>
      <c r="U52" s="9" t="e">
        <v>#NUM!</v>
      </c>
      <c r="V52" s="9" t="e">
        <v>#NUM!</v>
      </c>
      <c r="W52" s="39" t="s">
        <v>22</v>
      </c>
      <c r="X52" s="9">
        <f>Q4</f>
        <v>0</v>
      </c>
      <c r="Y52" s="39" t="s">
        <v>23</v>
      </c>
      <c r="Z52" s="9" t="e">
        <f t="array" ref="Z52:Z59">MMULT(O52:V59,X52:X59)</f>
        <v>#NUM!</v>
      </c>
      <c r="AB52" s="9" t="e">
        <f>Z54</f>
        <v>#NUM!</v>
      </c>
    </row>
    <row r="53" spans="15:38">
      <c r="O53" s="9" t="e">
        <v>#NUM!</v>
      </c>
      <c r="P53" s="9" t="e">
        <v>#NUM!</v>
      </c>
      <c r="Q53" s="9" t="e">
        <v>#NUM!</v>
      </c>
      <c r="R53" s="9" t="e">
        <v>#NUM!</v>
      </c>
      <c r="S53" s="9" t="e">
        <v>#NUM!</v>
      </c>
      <c r="T53" s="9" t="e">
        <v>#NUM!</v>
      </c>
      <c r="U53" s="9" t="e">
        <v>#NUM!</v>
      </c>
      <c r="V53" s="9" t="e">
        <v>#NUM!</v>
      </c>
      <c r="W53" s="39"/>
      <c r="X53" s="9">
        <f>Q5</f>
        <v>0</v>
      </c>
      <c r="Y53" s="39"/>
      <c r="Z53" s="9" t="e">
        <v>#NUM!</v>
      </c>
      <c r="AB53" s="9" t="e">
        <f>Z55</f>
        <v>#NUM!</v>
      </c>
    </row>
    <row r="54" spans="15:38">
      <c r="O54" s="9" t="e">
        <v>#NUM!</v>
      </c>
      <c r="P54" s="9" t="e">
        <v>#NUM!</v>
      </c>
      <c r="Q54" s="9" t="e">
        <v>#NUM!</v>
      </c>
      <c r="R54" s="9" t="e">
        <v>#NUM!</v>
      </c>
      <c r="S54" s="9" t="e">
        <v>#NUM!</v>
      </c>
      <c r="T54" s="9" t="e">
        <v>#NUM!</v>
      </c>
      <c r="U54" s="9" t="e">
        <v>#NUM!</v>
      </c>
      <c r="V54" s="9" t="e">
        <v>#NUM!</v>
      </c>
      <c r="W54" s="39"/>
      <c r="X54" s="9">
        <f>R4</f>
        <v>0</v>
      </c>
      <c r="Y54" s="39"/>
      <c r="Z54" s="9" t="e">
        <v>#NUM!</v>
      </c>
      <c r="AB54" s="9">
        <v>0</v>
      </c>
    </row>
    <row r="55" spans="15:38">
      <c r="O55" s="9" t="e">
        <v>#NUM!</v>
      </c>
      <c r="P55" s="9" t="e">
        <v>#NUM!</v>
      </c>
      <c r="Q55" s="9" t="e">
        <v>#NUM!</v>
      </c>
      <c r="R55" s="9" t="e">
        <v>#NUM!</v>
      </c>
      <c r="S55" s="9" t="e">
        <v>#NUM!</v>
      </c>
      <c r="T55" s="9" t="e">
        <v>#NUM!</v>
      </c>
      <c r="U55" s="9" t="e">
        <v>#NUM!</v>
      </c>
      <c r="V55" s="9" t="e">
        <v>#NUM!</v>
      </c>
      <c r="W55" s="39"/>
      <c r="X55" s="9">
        <f>R5</f>
        <v>0</v>
      </c>
      <c r="Y55" s="39"/>
      <c r="Z55" s="9" t="e">
        <v>#NUM!</v>
      </c>
      <c r="AB55" s="9">
        <v>0</v>
      </c>
    </row>
    <row r="56" spans="15:38">
      <c r="O56" s="9" t="e">
        <v>#NUM!</v>
      </c>
      <c r="P56" s="9" t="e">
        <v>#NUM!</v>
      </c>
      <c r="Q56" s="9" t="e">
        <v>#NUM!</v>
      </c>
      <c r="R56" s="9" t="e">
        <v>#NUM!</v>
      </c>
      <c r="S56" s="9" t="e">
        <v>#NUM!</v>
      </c>
      <c r="T56" s="9" t="e">
        <v>#NUM!</v>
      </c>
      <c r="U56" s="9" t="e">
        <v>#NUM!</v>
      </c>
      <c r="V56" s="9" t="e">
        <v>#NUM!</v>
      </c>
      <c r="W56" s="39"/>
      <c r="X56" s="9">
        <f>T4</f>
        <v>0</v>
      </c>
      <c r="Y56" s="39"/>
      <c r="Z56" s="9" t="e">
        <v>#NUM!</v>
      </c>
      <c r="AB56" s="9" t="e">
        <f>Z56</f>
        <v>#NUM!</v>
      </c>
    </row>
    <row r="57" spans="15:38">
      <c r="O57" s="9" t="e">
        <v>#NUM!</v>
      </c>
      <c r="P57" s="9" t="e">
        <v>#NUM!</v>
      </c>
      <c r="Q57" s="9" t="e">
        <v>#NUM!</v>
      </c>
      <c r="R57" s="9" t="e">
        <v>#NUM!</v>
      </c>
      <c r="S57" s="9" t="e">
        <v>#NUM!</v>
      </c>
      <c r="T57" s="9" t="e">
        <v>#NUM!</v>
      </c>
      <c r="U57" s="9" t="e">
        <v>#NUM!</v>
      </c>
      <c r="V57" s="9" t="e">
        <v>#NUM!</v>
      </c>
      <c r="W57" s="39"/>
      <c r="X57" s="9">
        <f>T5</f>
        <v>-444822.16</v>
      </c>
      <c r="Y57" s="39"/>
      <c r="Z57" s="9" t="e">
        <v>#NUM!</v>
      </c>
      <c r="AB57" s="9" t="e">
        <f>Z57</f>
        <v>#NUM!</v>
      </c>
    </row>
    <row r="58" spans="15:38">
      <c r="O58" s="9" t="e">
        <v>#NUM!</v>
      </c>
      <c r="P58" s="9" t="e">
        <v>#NUM!</v>
      </c>
      <c r="Q58" s="9" t="e">
        <v>#NUM!</v>
      </c>
      <c r="R58" s="9" t="e">
        <v>#NUM!</v>
      </c>
      <c r="S58" s="9" t="e">
        <v>#NUM!</v>
      </c>
      <c r="T58" s="9" t="e">
        <v>#NUM!</v>
      </c>
      <c r="U58" s="9" t="e">
        <v>#NUM!</v>
      </c>
      <c r="V58" s="9" t="e">
        <v>#NUM!</v>
      </c>
      <c r="W58" s="39"/>
      <c r="X58" s="9">
        <f>U4</f>
        <v>0</v>
      </c>
      <c r="Y58" s="39"/>
      <c r="Z58" s="9" t="e">
        <v>#NUM!</v>
      </c>
      <c r="AB58" s="9" t="e">
        <f>Z58</f>
        <v>#NUM!</v>
      </c>
    </row>
    <row r="59" spans="15:38">
      <c r="O59" s="9" t="e">
        <v>#NUM!</v>
      </c>
      <c r="P59" s="9" t="e">
        <v>#NUM!</v>
      </c>
      <c r="Q59" s="9" t="e">
        <v>#NUM!</v>
      </c>
      <c r="R59" s="9" t="e">
        <v>#NUM!</v>
      </c>
      <c r="S59" s="9" t="e">
        <v>#NUM!</v>
      </c>
      <c r="T59" s="9" t="e">
        <v>#NUM!</v>
      </c>
      <c r="U59" s="9" t="e">
        <v>#NUM!</v>
      </c>
      <c r="V59" s="9" t="e">
        <v>#NUM!</v>
      </c>
      <c r="W59" s="39"/>
      <c r="X59" s="9">
        <f>U5</f>
        <v>-444822.16</v>
      </c>
      <c r="Y59" s="39"/>
      <c r="Z59" s="9" t="e">
        <v>#NUM!</v>
      </c>
      <c r="AB59" s="9" t="e">
        <f>Z59</f>
        <v>#NUM!</v>
      </c>
    </row>
    <row r="61" spans="15:38">
      <c r="O61" s="37" t="s">
        <v>77</v>
      </c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</row>
    <row r="63" spans="15:38">
      <c r="O63" s="38" t="s">
        <v>60</v>
      </c>
      <c r="P63" s="38"/>
      <c r="Q63" s="38"/>
      <c r="R63" s="38"/>
      <c r="T63" s="38" t="s">
        <v>66</v>
      </c>
      <c r="U63" s="38"/>
      <c r="V63" s="38"/>
      <c r="W63" s="38"/>
      <c r="Y63" s="38" t="s">
        <v>67</v>
      </c>
      <c r="Z63" s="38"/>
      <c r="AA63" s="38"/>
      <c r="AB63" s="38"/>
      <c r="AD63" s="38" t="s">
        <v>68</v>
      </c>
      <c r="AE63" s="38"/>
      <c r="AF63" s="38"/>
      <c r="AG63" s="38"/>
      <c r="AI63" s="38" t="s">
        <v>69</v>
      </c>
      <c r="AJ63" s="38"/>
      <c r="AK63" s="38"/>
      <c r="AL63" s="38"/>
    </row>
    <row r="64" spans="15:38">
      <c r="O64" s="9">
        <f>$Q8</f>
        <v>1</v>
      </c>
      <c r="P64" s="9">
        <f>$R8</f>
        <v>0</v>
      </c>
      <c r="Q64" s="9">
        <v>0</v>
      </c>
      <c r="R64" s="9">
        <v>0</v>
      </c>
      <c r="T64" s="9">
        <f>$Q9</f>
        <v>1</v>
      </c>
      <c r="U64" s="9">
        <f>$R9</f>
        <v>0</v>
      </c>
      <c r="V64" s="9">
        <v>0</v>
      </c>
      <c r="W64" s="9">
        <v>0</v>
      </c>
      <c r="Y64" s="9">
        <f>$Q10</f>
        <v>1</v>
      </c>
      <c r="Z64" s="9">
        <f>$R10</f>
        <v>0</v>
      </c>
      <c r="AA64" s="9">
        <v>0</v>
      </c>
      <c r="AB64" s="9">
        <v>0</v>
      </c>
      <c r="AD64" s="9">
        <f>$Q11</f>
        <v>1</v>
      </c>
      <c r="AE64" s="9">
        <f>$R11</f>
        <v>0</v>
      </c>
      <c r="AF64" s="9">
        <v>0</v>
      </c>
      <c r="AG64" s="9">
        <v>0</v>
      </c>
      <c r="AI64" s="9">
        <f>$Q12</f>
        <v>0.70710678118654757</v>
      </c>
      <c r="AJ64" s="9">
        <f>$R12</f>
        <v>-0.70710678118654757</v>
      </c>
      <c r="AK64" s="9">
        <v>0</v>
      </c>
      <c r="AL64" s="9">
        <v>0</v>
      </c>
    </row>
    <row r="65" spans="15:38">
      <c r="O65" s="9">
        <f>-P64</f>
        <v>0</v>
      </c>
      <c r="P65" s="9">
        <f>O64</f>
        <v>1</v>
      </c>
      <c r="Q65" s="9">
        <v>0</v>
      </c>
      <c r="R65" s="9">
        <v>0</v>
      </c>
      <c r="T65" s="9">
        <f>-U64</f>
        <v>0</v>
      </c>
      <c r="U65" s="9">
        <f>T64</f>
        <v>1</v>
      </c>
      <c r="V65" s="9">
        <v>0</v>
      </c>
      <c r="W65" s="9">
        <v>0</v>
      </c>
      <c r="Y65" s="9">
        <f>-Z64</f>
        <v>0</v>
      </c>
      <c r="Z65" s="9">
        <f>Y64</f>
        <v>1</v>
      </c>
      <c r="AA65" s="9">
        <v>0</v>
      </c>
      <c r="AB65" s="9">
        <v>0</v>
      </c>
      <c r="AD65" s="9">
        <f>-AE64</f>
        <v>0</v>
      </c>
      <c r="AE65" s="9">
        <f>AD64</f>
        <v>1</v>
      </c>
      <c r="AF65" s="9">
        <v>0</v>
      </c>
      <c r="AG65" s="9">
        <v>0</v>
      </c>
      <c r="AI65" s="9">
        <f>-AJ64</f>
        <v>0.70710678118654757</v>
      </c>
      <c r="AJ65" s="9">
        <f>AI64</f>
        <v>0.70710678118654757</v>
      </c>
      <c r="AK65" s="9">
        <v>0</v>
      </c>
      <c r="AL65" s="9">
        <v>0</v>
      </c>
    </row>
    <row r="66" spans="15:38">
      <c r="O66" s="9">
        <v>0</v>
      </c>
      <c r="P66" s="9">
        <v>0</v>
      </c>
      <c r="Q66" s="9">
        <f>O64</f>
        <v>1</v>
      </c>
      <c r="R66" s="9">
        <f>P64</f>
        <v>0</v>
      </c>
      <c r="T66" s="9">
        <v>0</v>
      </c>
      <c r="U66" s="9">
        <v>0</v>
      </c>
      <c r="V66" s="9">
        <f>T64</f>
        <v>1</v>
      </c>
      <c r="W66" s="9">
        <f>U64</f>
        <v>0</v>
      </c>
      <c r="Y66" s="9">
        <v>0</v>
      </c>
      <c r="Z66" s="9">
        <v>0</v>
      </c>
      <c r="AA66" s="9">
        <f>Y64</f>
        <v>1</v>
      </c>
      <c r="AB66" s="9">
        <f>Z64</f>
        <v>0</v>
      </c>
      <c r="AD66" s="9">
        <v>0</v>
      </c>
      <c r="AE66" s="9">
        <v>0</v>
      </c>
      <c r="AF66" s="9">
        <f>AD64</f>
        <v>1</v>
      </c>
      <c r="AG66" s="9">
        <f>AE64</f>
        <v>0</v>
      </c>
      <c r="AI66" s="9">
        <v>0</v>
      </c>
      <c r="AJ66" s="9">
        <v>0</v>
      </c>
      <c r="AK66" s="9">
        <f>AI64</f>
        <v>0.70710678118654757</v>
      </c>
      <c r="AL66" s="9">
        <f>AJ64</f>
        <v>-0.70710678118654757</v>
      </c>
    </row>
    <row r="67" spans="15:38">
      <c r="O67" s="9">
        <v>0</v>
      </c>
      <c r="P67" s="9">
        <v>0</v>
      </c>
      <c r="Q67" s="9">
        <f>O65</f>
        <v>0</v>
      </c>
      <c r="R67" s="9">
        <f>P65</f>
        <v>1</v>
      </c>
      <c r="T67" s="9">
        <v>0</v>
      </c>
      <c r="U67" s="9">
        <v>0</v>
      </c>
      <c r="V67" s="9">
        <f>T65</f>
        <v>0</v>
      </c>
      <c r="W67" s="9">
        <f>U65</f>
        <v>1</v>
      </c>
      <c r="Y67" s="9">
        <v>0</v>
      </c>
      <c r="Z67" s="9">
        <v>0</v>
      </c>
      <c r="AA67" s="9">
        <f>Y65</f>
        <v>0</v>
      </c>
      <c r="AB67" s="9">
        <f>Z65</f>
        <v>1</v>
      </c>
      <c r="AD67" s="9">
        <v>0</v>
      </c>
      <c r="AE67" s="9">
        <v>0</v>
      </c>
      <c r="AF67" s="9">
        <f>AD65</f>
        <v>0</v>
      </c>
      <c r="AG67" s="9">
        <f>AE65</f>
        <v>1</v>
      </c>
      <c r="AI67" s="9">
        <v>0</v>
      </c>
      <c r="AJ67" s="9">
        <v>0</v>
      </c>
      <c r="AK67" s="9">
        <f>AI65</f>
        <v>0.70710678118654757</v>
      </c>
      <c r="AL67" s="9">
        <f>AJ65</f>
        <v>0.70710678118654757</v>
      </c>
    </row>
    <row r="69" spans="15:38">
      <c r="O69" s="38" t="s">
        <v>70</v>
      </c>
      <c r="P69" s="38"/>
      <c r="Q69" s="38"/>
      <c r="R69" s="38"/>
      <c r="T69" s="38" t="s">
        <v>71</v>
      </c>
      <c r="U69" s="38"/>
      <c r="V69" s="38"/>
      <c r="W69" s="38"/>
      <c r="Y69" s="38" t="s">
        <v>72</v>
      </c>
      <c r="Z69" s="38"/>
      <c r="AA69" s="38"/>
      <c r="AB69" s="38"/>
      <c r="AD69" s="38" t="s">
        <v>73</v>
      </c>
      <c r="AE69" s="38"/>
      <c r="AF69" s="38"/>
      <c r="AG69" s="38"/>
      <c r="AI69" s="38" t="s">
        <v>74</v>
      </c>
      <c r="AJ69" s="38"/>
      <c r="AK69" s="38"/>
      <c r="AL69" s="38"/>
    </row>
    <row r="70" spans="15:38">
      <c r="O70" s="9">
        <f>$Q13</f>
        <v>-0.70710678118654757</v>
      </c>
      <c r="P70" s="9">
        <f>$R13</f>
        <v>-0.70710678118654757</v>
      </c>
      <c r="Q70" s="9">
        <v>0</v>
      </c>
      <c r="R70" s="9">
        <v>0</v>
      </c>
      <c r="T70" s="9">
        <f>$Q14</f>
        <v>0.70710678118654757</v>
      </c>
      <c r="U70" s="9">
        <f>$R14</f>
        <v>-0.70710678118654757</v>
      </c>
      <c r="V70" s="9">
        <v>0</v>
      </c>
      <c r="W70" s="9">
        <v>0</v>
      </c>
      <c r="Y70" s="9">
        <f>$Q15</f>
        <v>-0.70710678118654757</v>
      </c>
      <c r="Z70" s="9">
        <f>$R15</f>
        <v>-0.70710678118654757</v>
      </c>
      <c r="AA70" s="9">
        <v>0</v>
      </c>
      <c r="AB70" s="9">
        <v>0</v>
      </c>
      <c r="AD70" s="9">
        <f>$Q16</f>
        <v>0</v>
      </c>
      <c r="AE70" s="9">
        <f>$R16</f>
        <v>-1</v>
      </c>
      <c r="AF70" s="9">
        <v>0</v>
      </c>
      <c r="AG70" s="9">
        <v>0</v>
      </c>
      <c r="AI70" s="9">
        <f>$Q17</f>
        <v>0</v>
      </c>
      <c r="AJ70" s="9">
        <f>$R17</f>
        <v>-1</v>
      </c>
      <c r="AK70" s="9">
        <v>0</v>
      </c>
      <c r="AL70" s="9">
        <v>0</v>
      </c>
    </row>
    <row r="71" spans="15:38">
      <c r="O71" s="9">
        <f>-P70</f>
        <v>0.70710678118654757</v>
      </c>
      <c r="P71" s="9">
        <f>O70</f>
        <v>-0.70710678118654757</v>
      </c>
      <c r="Q71" s="9">
        <v>0</v>
      </c>
      <c r="R71" s="9">
        <v>0</v>
      </c>
      <c r="T71" s="9">
        <f>-U70</f>
        <v>0.70710678118654757</v>
      </c>
      <c r="U71" s="9">
        <f>T70</f>
        <v>0.70710678118654757</v>
      </c>
      <c r="V71" s="9">
        <v>0</v>
      </c>
      <c r="W71" s="9">
        <v>0</v>
      </c>
      <c r="Y71" s="9">
        <f>-Z70</f>
        <v>0.70710678118654757</v>
      </c>
      <c r="Z71" s="9">
        <f>Y70</f>
        <v>-0.70710678118654757</v>
      </c>
      <c r="AA71" s="9">
        <v>0</v>
      </c>
      <c r="AB71" s="9">
        <v>0</v>
      </c>
      <c r="AD71" s="9">
        <f>-AE70</f>
        <v>1</v>
      </c>
      <c r="AE71" s="9">
        <f>AD70</f>
        <v>0</v>
      </c>
      <c r="AF71" s="9">
        <v>0</v>
      </c>
      <c r="AG71" s="9">
        <v>0</v>
      </c>
      <c r="AI71" s="9">
        <f>-AJ70</f>
        <v>1</v>
      </c>
      <c r="AJ71" s="9">
        <f>AI70</f>
        <v>0</v>
      </c>
      <c r="AK71" s="9">
        <v>0</v>
      </c>
      <c r="AL71" s="9">
        <v>0</v>
      </c>
    </row>
    <row r="72" spans="15:38">
      <c r="O72" s="9">
        <v>0</v>
      </c>
      <c r="P72" s="9">
        <v>0</v>
      </c>
      <c r="Q72" s="9">
        <f>O70</f>
        <v>-0.70710678118654757</v>
      </c>
      <c r="R72" s="9">
        <f>P70</f>
        <v>-0.70710678118654757</v>
      </c>
      <c r="T72" s="9">
        <v>0</v>
      </c>
      <c r="U72" s="9">
        <v>0</v>
      </c>
      <c r="V72" s="9">
        <f>T70</f>
        <v>0.70710678118654757</v>
      </c>
      <c r="W72" s="9">
        <f>U70</f>
        <v>-0.70710678118654757</v>
      </c>
      <c r="Y72" s="9">
        <v>0</v>
      </c>
      <c r="Z72" s="9">
        <v>0</v>
      </c>
      <c r="AA72" s="9">
        <f>Y70</f>
        <v>-0.70710678118654757</v>
      </c>
      <c r="AB72" s="9">
        <f>Z70</f>
        <v>-0.70710678118654757</v>
      </c>
      <c r="AD72" s="9">
        <v>0</v>
      </c>
      <c r="AE72" s="9">
        <v>0</v>
      </c>
      <c r="AF72" s="9">
        <f>AD70</f>
        <v>0</v>
      </c>
      <c r="AG72" s="9">
        <f>AE70</f>
        <v>-1</v>
      </c>
      <c r="AI72" s="9">
        <v>0</v>
      </c>
      <c r="AJ72" s="9">
        <v>0</v>
      </c>
      <c r="AK72" s="9">
        <f>AI70</f>
        <v>0</v>
      </c>
      <c r="AL72" s="9">
        <f>AJ70</f>
        <v>-1</v>
      </c>
    </row>
    <row r="73" spans="15:38">
      <c r="O73" s="9">
        <v>0</v>
      </c>
      <c r="P73" s="9">
        <v>0</v>
      </c>
      <c r="Q73" s="9">
        <f>O71</f>
        <v>0.70710678118654757</v>
      </c>
      <c r="R73" s="9">
        <f>P71</f>
        <v>-0.70710678118654757</v>
      </c>
      <c r="T73" s="9">
        <v>0</v>
      </c>
      <c r="U73" s="9">
        <v>0</v>
      </c>
      <c r="V73" s="9">
        <f>T71</f>
        <v>0.70710678118654757</v>
      </c>
      <c r="W73" s="9">
        <f>U71</f>
        <v>0.70710678118654757</v>
      </c>
      <c r="Y73" s="9">
        <v>0</v>
      </c>
      <c r="Z73" s="9">
        <v>0</v>
      </c>
      <c r="AA73" s="9">
        <f>Y71</f>
        <v>0.70710678118654757</v>
      </c>
      <c r="AB73" s="9">
        <f>Z71</f>
        <v>-0.70710678118654757</v>
      </c>
      <c r="AD73" s="9">
        <v>0</v>
      </c>
      <c r="AE73" s="9">
        <v>0</v>
      </c>
      <c r="AF73" s="9">
        <f>AD71</f>
        <v>1</v>
      </c>
      <c r="AG73" s="9">
        <f>AE71</f>
        <v>0</v>
      </c>
      <c r="AI73" s="9">
        <v>0</v>
      </c>
      <c r="AJ73" s="9">
        <v>0</v>
      </c>
      <c r="AK73" s="9">
        <f>AI71</f>
        <v>1</v>
      </c>
      <c r="AL73" s="9">
        <f>AJ71</f>
        <v>0</v>
      </c>
    </row>
    <row r="75" spans="15:38">
      <c r="O75" s="38" t="s">
        <v>83</v>
      </c>
      <c r="P75" s="38"/>
      <c r="Q75" s="38"/>
      <c r="R75" s="38"/>
      <c r="S75" s="38"/>
      <c r="T75" s="38"/>
      <c r="U75" s="38"/>
      <c r="V75" s="38"/>
      <c r="W75" s="38"/>
      <c r="X75" s="38"/>
      <c r="Z75" s="38" t="s">
        <v>88</v>
      </c>
      <c r="AA75" s="38"/>
      <c r="AB75" s="38"/>
      <c r="AC75" s="38"/>
      <c r="AD75" s="38"/>
    </row>
    <row r="76" spans="15:38">
      <c r="O76" s="11" t="s">
        <v>35</v>
      </c>
      <c r="P76" s="11" t="s">
        <v>25</v>
      </c>
      <c r="Q76" s="11" t="s">
        <v>27</v>
      </c>
      <c r="R76" s="11" t="s">
        <v>29</v>
      </c>
      <c r="S76" s="11" t="s">
        <v>31</v>
      </c>
      <c r="T76" s="11" t="s">
        <v>33</v>
      </c>
      <c r="U76" s="11" t="s">
        <v>79</v>
      </c>
      <c r="V76" s="11" t="s">
        <v>80</v>
      </c>
      <c r="W76" s="11" t="s">
        <v>81</v>
      </c>
      <c r="X76" s="11" t="s">
        <v>82</v>
      </c>
      <c r="Z76" s="19" t="s">
        <v>60</v>
      </c>
      <c r="AA76" s="9">
        <f>-$M$2/P8</f>
        <v>-7655293088.3639545</v>
      </c>
      <c r="AB76" s="9">
        <v>0</v>
      </c>
      <c r="AC76" s="20">
        <f>$M$2/P8</f>
        <v>7655293088.3639545</v>
      </c>
      <c r="AD76" s="9">
        <v>0</v>
      </c>
    </row>
    <row r="77" spans="15:38">
      <c r="O77" s="9">
        <f>AB48</f>
        <v>0</v>
      </c>
      <c r="P77" s="9">
        <f>AB54</f>
        <v>0</v>
      </c>
      <c r="Q77" s="9" t="e">
        <f>AB50</f>
        <v>#NUM!</v>
      </c>
      <c r="R77" s="9" t="e">
        <f>AB56</f>
        <v>#NUM!</v>
      </c>
      <c r="S77" s="9">
        <f>AB48</f>
        <v>0</v>
      </c>
      <c r="T77" s="9" t="e">
        <f>AB50</f>
        <v>#NUM!</v>
      </c>
      <c r="U77" s="9" t="e">
        <f>AB50</f>
        <v>#NUM!</v>
      </c>
      <c r="V77" s="9" t="e">
        <f>AB52</f>
        <v>#NUM!</v>
      </c>
      <c r="W77" s="9" t="e">
        <f>AB50</f>
        <v>#NUM!</v>
      </c>
      <c r="X77" s="9" t="e">
        <f>AB52</f>
        <v>#NUM!</v>
      </c>
      <c r="Z77" s="11" t="s">
        <v>66</v>
      </c>
      <c r="AA77" s="9">
        <f t="shared" ref="AA77:AA85" si="7">-$M$2/P9</f>
        <v>-7655293088.3639545</v>
      </c>
      <c r="AB77" s="9">
        <v>0</v>
      </c>
      <c r="AC77" s="20">
        <f t="shared" ref="AC77:AC85" si="8">$M$2/P9</f>
        <v>7655293088.3639545</v>
      </c>
      <c r="AD77" s="9">
        <v>0</v>
      </c>
    </row>
    <row r="78" spans="15:38">
      <c r="O78" s="9">
        <f>AB49</f>
        <v>0</v>
      </c>
      <c r="P78" s="9">
        <f t="shared" ref="P78:P80" si="9">AB55</f>
        <v>0</v>
      </c>
      <c r="Q78" s="9" t="e">
        <f t="shared" ref="Q78:Q80" si="10">AB51</f>
        <v>#NUM!</v>
      </c>
      <c r="R78" s="9" t="e">
        <f t="shared" ref="R78:R79" si="11">AB57</f>
        <v>#NUM!</v>
      </c>
      <c r="S78" s="9">
        <f>AB49</f>
        <v>0</v>
      </c>
      <c r="T78" s="9" t="e">
        <f>AB51</f>
        <v>#NUM!</v>
      </c>
      <c r="U78" s="9" t="e">
        <f>AB51</f>
        <v>#NUM!</v>
      </c>
      <c r="V78" s="9" t="e">
        <f>AB53</f>
        <v>#NUM!</v>
      </c>
      <c r="W78" s="9" t="e">
        <f>AB51</f>
        <v>#NUM!</v>
      </c>
      <c r="X78" s="9" t="e">
        <f>AB53</f>
        <v>#NUM!</v>
      </c>
      <c r="Z78" s="11" t="s">
        <v>67</v>
      </c>
      <c r="AA78" s="9">
        <f t="shared" si="7"/>
        <v>-7655293088.3639545</v>
      </c>
      <c r="AB78" s="9">
        <v>0</v>
      </c>
      <c r="AC78" s="20">
        <f t="shared" si="8"/>
        <v>7655293088.3639545</v>
      </c>
      <c r="AD78" s="9">
        <v>0</v>
      </c>
    </row>
    <row r="79" spans="15:38">
      <c r="O79" s="9" t="e">
        <f>AB50</f>
        <v>#NUM!</v>
      </c>
      <c r="P79" s="9" t="e">
        <f t="shared" si="9"/>
        <v>#NUM!</v>
      </c>
      <c r="Q79" s="9" t="e">
        <f t="shared" si="10"/>
        <v>#NUM!</v>
      </c>
      <c r="R79" s="9" t="e">
        <f t="shared" si="11"/>
        <v>#NUM!</v>
      </c>
      <c r="S79" s="9" t="e">
        <f>AB56</f>
        <v>#NUM!</v>
      </c>
      <c r="T79" s="9">
        <f>AB54</f>
        <v>0</v>
      </c>
      <c r="U79" s="9" t="e">
        <f>AB58</f>
        <v>#NUM!</v>
      </c>
      <c r="V79" s="9" t="e">
        <f>AB56</f>
        <v>#NUM!</v>
      </c>
      <c r="W79" s="9" t="e">
        <f>AB56</f>
        <v>#NUM!</v>
      </c>
      <c r="X79" s="9" t="e">
        <f>AB58</f>
        <v>#NUM!</v>
      </c>
      <c r="Z79" s="11" t="s">
        <v>68</v>
      </c>
      <c r="AA79" s="9">
        <f t="shared" si="7"/>
        <v>-7655293088.3639545</v>
      </c>
      <c r="AB79" s="9">
        <v>0</v>
      </c>
      <c r="AC79" s="20">
        <f t="shared" si="8"/>
        <v>7655293088.3639545</v>
      </c>
      <c r="AD79" s="9">
        <v>0</v>
      </c>
    </row>
    <row r="80" spans="15:38">
      <c r="O80" s="9" t="e">
        <f>AB51</f>
        <v>#NUM!</v>
      </c>
      <c r="P80" s="9" t="e">
        <f t="shared" si="9"/>
        <v>#NUM!</v>
      </c>
      <c r="Q80" s="9" t="e">
        <f t="shared" si="10"/>
        <v>#NUM!</v>
      </c>
      <c r="R80" s="9" t="e">
        <f>AB59</f>
        <v>#NUM!</v>
      </c>
      <c r="S80" s="9" t="e">
        <f>AB57</f>
        <v>#NUM!</v>
      </c>
      <c r="T80" s="9">
        <f>AB55</f>
        <v>0</v>
      </c>
      <c r="U80" s="9" t="e">
        <f>AB59</f>
        <v>#NUM!</v>
      </c>
      <c r="V80" s="9" t="e">
        <f>AB57</f>
        <v>#NUM!</v>
      </c>
      <c r="W80" s="9" t="e">
        <f>AB57</f>
        <v>#NUM!</v>
      </c>
      <c r="X80" s="9" t="e">
        <f>AB59</f>
        <v>#NUM!</v>
      </c>
      <c r="Z80" s="11" t="s">
        <v>69</v>
      </c>
      <c r="AA80" s="9">
        <f t="shared" si="7"/>
        <v>-5413109654.7526608</v>
      </c>
      <c r="AB80" s="9">
        <v>0</v>
      </c>
      <c r="AC80" s="20">
        <f t="shared" si="8"/>
        <v>5413109654.7526608</v>
      </c>
      <c r="AD80" s="9">
        <v>0</v>
      </c>
    </row>
    <row r="81" spans="15:38">
      <c r="Z81" s="11" t="s">
        <v>70</v>
      </c>
      <c r="AA81" s="9">
        <f t="shared" si="7"/>
        <v>-5413109654.7526608</v>
      </c>
      <c r="AB81" s="9">
        <v>0</v>
      </c>
      <c r="AC81" s="20">
        <f t="shared" si="8"/>
        <v>5413109654.7526608</v>
      </c>
      <c r="AD81" s="9">
        <v>0</v>
      </c>
    </row>
    <row r="82" spans="15:38">
      <c r="O82" s="38" t="s">
        <v>78</v>
      </c>
      <c r="P82" s="38"/>
      <c r="Q82" s="38"/>
      <c r="R82" s="38"/>
      <c r="S82" s="38"/>
      <c r="T82" s="38"/>
      <c r="U82" s="38"/>
      <c r="V82" s="38"/>
      <c r="W82" s="38"/>
      <c r="X82" s="38"/>
      <c r="Z82" s="11" t="s">
        <v>71</v>
      </c>
      <c r="AA82" s="9">
        <f t="shared" si="7"/>
        <v>-5413109654.7526608</v>
      </c>
      <c r="AB82" s="9">
        <v>0</v>
      </c>
      <c r="AC82" s="20">
        <f t="shared" si="8"/>
        <v>5413109654.7526608</v>
      </c>
      <c r="AD82" s="9">
        <v>0</v>
      </c>
    </row>
    <row r="83" spans="15:38">
      <c r="O83" s="11" t="s">
        <v>38</v>
      </c>
      <c r="P83" s="11" t="s">
        <v>39</v>
      </c>
      <c r="Q83" s="11" t="s">
        <v>42</v>
      </c>
      <c r="R83" s="11" t="s">
        <v>40</v>
      </c>
      <c r="S83" s="11" t="s">
        <v>41</v>
      </c>
      <c r="T83" s="11" t="s">
        <v>43</v>
      </c>
      <c r="U83" s="11" t="s">
        <v>84</v>
      </c>
      <c r="V83" s="11" t="s">
        <v>85</v>
      </c>
      <c r="W83" s="11" t="s">
        <v>86</v>
      </c>
      <c r="X83" s="11" t="s">
        <v>87</v>
      </c>
      <c r="Z83" s="11" t="s">
        <v>72</v>
      </c>
      <c r="AA83" s="9">
        <f t="shared" si="7"/>
        <v>-5413109654.7526608</v>
      </c>
      <c r="AB83" s="9">
        <v>0</v>
      </c>
      <c r="AC83" s="20">
        <f t="shared" si="8"/>
        <v>5413109654.7526608</v>
      </c>
      <c r="AD83" s="9">
        <v>0</v>
      </c>
    </row>
    <row r="84" spans="15:38">
      <c r="O84" s="12" t="e">
        <f t="array" ref="O84:O87">MMULT(O64:R67,O77:O80)</f>
        <v>#NUM!</v>
      </c>
      <c r="P84" s="12" t="e">
        <f t="array" ref="P84:P87">MMULT(T64:W67,P77:P80)</f>
        <v>#NUM!</v>
      </c>
      <c r="Q84" s="12" t="e">
        <f t="array" ref="Q84:Q87">MMULT(Y64:AB67,Q77:Q80
)</f>
        <v>#NUM!</v>
      </c>
      <c r="R84" s="12" t="e">
        <f t="array" ref="R84:R87">MMULT(AD64:AG67,R77:R80)</f>
        <v>#NUM!</v>
      </c>
      <c r="S84" s="12" t="e">
        <f t="array" ref="S84:S87">MMULT(AI64:AL67,S77:S80)</f>
        <v>#NUM!</v>
      </c>
      <c r="T84" s="12" t="e">
        <f t="array" ref="T84:T87">MMULT(O70:R73,T77:T80)</f>
        <v>#NUM!</v>
      </c>
      <c r="U84" s="12" t="e">
        <f t="array" ref="U84:U87">MMULT(T70:W73,U77:U80)</f>
        <v>#NUM!</v>
      </c>
      <c r="V84" s="12" t="e">
        <f t="array" ref="V84:V87">MMULT(Y70:AB73,V77:V80)</f>
        <v>#NUM!</v>
      </c>
      <c r="W84" s="12" t="e">
        <f t="array" ref="W84:W87">MMULT(AD70:AG73,W77:W80)</f>
        <v>#NUM!</v>
      </c>
      <c r="X84" s="12" t="e">
        <f t="array" ref="X84:X87">MMULT(AI70:AL73,X77:X80)</f>
        <v>#NUM!</v>
      </c>
      <c r="Z84" s="11" t="s">
        <v>73</v>
      </c>
      <c r="AA84" s="9">
        <f t="shared" si="7"/>
        <v>-7655293088.3639545</v>
      </c>
      <c r="AB84" s="9">
        <v>0</v>
      </c>
      <c r="AC84" s="20">
        <f t="shared" si="8"/>
        <v>7655293088.3639545</v>
      </c>
      <c r="AD84" s="9">
        <v>0</v>
      </c>
    </row>
    <row r="85" spans="15:38">
      <c r="O85" s="12" t="e">
        <v>#NUM!</v>
      </c>
      <c r="P85" s="12" t="e">
        <v>#NUM!</v>
      </c>
      <c r="Q85" s="12" t="e">
        <v>#NUM!</v>
      </c>
      <c r="R85" s="12" t="e">
        <v>#NUM!</v>
      </c>
      <c r="S85" s="12" t="e">
        <v>#NUM!</v>
      </c>
      <c r="T85" s="12" t="e">
        <v>#NUM!</v>
      </c>
      <c r="U85" s="12" t="e">
        <v>#NUM!</v>
      </c>
      <c r="V85" s="12" t="e">
        <v>#NUM!</v>
      </c>
      <c r="W85" s="12" t="e">
        <v>#NUM!</v>
      </c>
      <c r="X85" s="12" t="e">
        <v>#NUM!</v>
      </c>
      <c r="Z85" s="11" t="s">
        <v>74</v>
      </c>
      <c r="AA85" s="9">
        <f t="shared" si="7"/>
        <v>-7655293088.3639545</v>
      </c>
      <c r="AB85" s="9">
        <v>0</v>
      </c>
      <c r="AC85" s="20">
        <f t="shared" si="8"/>
        <v>7655293088.3639545</v>
      </c>
      <c r="AD85" s="9">
        <v>0</v>
      </c>
    </row>
    <row r="86" spans="15:38">
      <c r="O86" s="12" t="e">
        <v>#NUM!</v>
      </c>
      <c r="P86" s="12" t="e">
        <v>#NUM!</v>
      </c>
      <c r="Q86" s="12" t="e">
        <v>#NUM!</v>
      </c>
      <c r="R86" s="12" t="e">
        <v>#NUM!</v>
      </c>
      <c r="S86" s="12" t="e">
        <v>#NUM!</v>
      </c>
      <c r="T86" s="12" t="e">
        <v>#NUM!</v>
      </c>
      <c r="U86" s="12" t="e">
        <v>#NUM!</v>
      </c>
      <c r="V86" s="12" t="e">
        <v>#NUM!</v>
      </c>
      <c r="W86" s="12" t="e">
        <v>#NUM!</v>
      </c>
      <c r="X86" s="12" t="e">
        <v>#NUM!</v>
      </c>
    </row>
    <row r="87" spans="15:38">
      <c r="O87" s="12" t="e">
        <v>#NUM!</v>
      </c>
      <c r="P87" s="12" t="e">
        <v>#NUM!</v>
      </c>
      <c r="Q87" s="12" t="e">
        <v>#NUM!</v>
      </c>
      <c r="R87" s="12" t="e">
        <v>#NUM!</v>
      </c>
      <c r="S87" s="12" t="e">
        <v>#NUM!</v>
      </c>
      <c r="T87" s="12" t="e">
        <v>#NUM!</v>
      </c>
      <c r="U87" s="12" t="e">
        <v>#NUM!</v>
      </c>
      <c r="V87" s="12" t="e">
        <v>#NUM!</v>
      </c>
      <c r="W87" s="12" t="e">
        <v>#NUM!</v>
      </c>
      <c r="X87" s="12" t="e">
        <v>#NUM!</v>
      </c>
    </row>
    <row r="89" spans="15:38">
      <c r="O89" s="37" t="s">
        <v>89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</row>
    <row r="91" spans="15:38">
      <c r="P91" s="22" t="s">
        <v>44</v>
      </c>
      <c r="Q91" s="22" t="s">
        <v>94</v>
      </c>
      <c r="R91" s="22" t="s">
        <v>95</v>
      </c>
      <c r="T91" s="8"/>
      <c r="U91" s="22" t="s">
        <v>90</v>
      </c>
    </row>
    <row r="92" spans="15:38">
      <c r="O92" s="21" t="s">
        <v>60</v>
      </c>
      <c r="P92" s="23" t="e">
        <f>MMULT(AA76:AD76,O84:O87)</f>
        <v>#NUM!</v>
      </c>
      <c r="Q92" s="23" t="e">
        <f>ABS(P92)</f>
        <v>#NUM!</v>
      </c>
      <c r="R92" s="24" t="e">
        <f>IF(Q92&lt;$M$4,0,1)</f>
        <v>#NUM!</v>
      </c>
      <c r="T92" s="22" t="s">
        <v>45</v>
      </c>
      <c r="U92" s="23">
        <f>SQRT((AB48^2)+(AB49^2))</f>
        <v>0</v>
      </c>
    </row>
    <row r="93" spans="15:38">
      <c r="O93" s="21" t="s">
        <v>66</v>
      </c>
      <c r="P93" s="23" t="e">
        <f>MMULT(AA77:AD77,P84:P87)</f>
        <v>#NUM!</v>
      </c>
      <c r="Q93" s="23" t="e">
        <f t="shared" ref="Q93:Q101" si="12">ABS(P93)</f>
        <v>#NUM!</v>
      </c>
      <c r="R93" s="24" t="e">
        <f>IF(Q93&lt;$M$4,0,1)</f>
        <v>#NUM!</v>
      </c>
      <c r="T93" s="22" t="s">
        <v>46</v>
      </c>
      <c r="U93" s="23" t="e">
        <f>SQRT((AB50^2)+(AB51^2))</f>
        <v>#NUM!</v>
      </c>
    </row>
    <row r="94" spans="15:38">
      <c r="O94" s="21" t="s">
        <v>67</v>
      </c>
      <c r="P94" s="23" t="e">
        <f>MMULT(AA78:AD78,Q84:Q87)</f>
        <v>#NUM!</v>
      </c>
      <c r="Q94" s="23" t="e">
        <f t="shared" si="12"/>
        <v>#NUM!</v>
      </c>
      <c r="R94" s="24" t="e">
        <f t="shared" ref="R94:R101" si="13">IF(Q94&lt;$M$4,0,1)</f>
        <v>#NUM!</v>
      </c>
      <c r="T94" s="22" t="s">
        <v>47</v>
      </c>
      <c r="U94" s="23" t="e">
        <f>SQRT((AB52^2)+(AB53^2))</f>
        <v>#NUM!</v>
      </c>
    </row>
    <row r="95" spans="15:38">
      <c r="O95" s="21" t="s">
        <v>68</v>
      </c>
      <c r="P95" s="23" t="e">
        <f>MMULT(AA79:AD79,R84:R87)</f>
        <v>#NUM!</v>
      </c>
      <c r="Q95" s="23" t="e">
        <f t="shared" si="12"/>
        <v>#NUM!</v>
      </c>
      <c r="R95" s="24" t="e">
        <f t="shared" si="13"/>
        <v>#NUM!</v>
      </c>
      <c r="T95" s="22" t="s">
        <v>48</v>
      </c>
      <c r="U95" s="23">
        <f>SQRT((AB54^2)+(AB55^2))</f>
        <v>0</v>
      </c>
    </row>
    <row r="96" spans="15:38">
      <c r="O96" s="21" t="s">
        <v>69</v>
      </c>
      <c r="P96" s="23" t="e">
        <f>MMULT(AA80:AD80,S84:S87)</f>
        <v>#NUM!</v>
      </c>
      <c r="Q96" s="23" t="e">
        <f t="shared" si="12"/>
        <v>#NUM!</v>
      </c>
      <c r="R96" s="24" t="e">
        <f t="shared" si="13"/>
        <v>#NUM!</v>
      </c>
      <c r="T96" s="22" t="s">
        <v>49</v>
      </c>
      <c r="U96" s="23" t="e">
        <f>SQRT((AB56^2)+(AB57^2))</f>
        <v>#NUM!</v>
      </c>
    </row>
    <row r="97" spans="15:21">
      <c r="O97" s="21" t="s">
        <v>70</v>
      </c>
      <c r="P97" s="23" t="e">
        <f>MMULT(AA81:AD81,T84:T87)</f>
        <v>#NUM!</v>
      </c>
      <c r="Q97" s="23" t="e">
        <f t="shared" si="12"/>
        <v>#NUM!</v>
      </c>
      <c r="R97" s="24" t="e">
        <f t="shared" si="13"/>
        <v>#NUM!</v>
      </c>
      <c r="T97" s="22" t="s">
        <v>50</v>
      </c>
      <c r="U97" s="23" t="e">
        <f>SQRT((AB58^2)+(AB59^2))</f>
        <v>#NUM!</v>
      </c>
    </row>
    <row r="98" spans="15:21">
      <c r="O98" s="21" t="s">
        <v>71</v>
      </c>
      <c r="P98" s="23" t="e">
        <f>MMULT(AA82:AD82,U84:U87)</f>
        <v>#NUM!</v>
      </c>
      <c r="Q98" s="23" t="e">
        <f t="shared" si="12"/>
        <v>#NUM!</v>
      </c>
      <c r="R98" s="24" t="e">
        <f t="shared" si="13"/>
        <v>#NUM!</v>
      </c>
    </row>
    <row r="99" spans="15:21">
      <c r="O99" s="21" t="s">
        <v>72</v>
      </c>
      <c r="P99" s="23" t="e">
        <f>MMULT(AA83:AD83,V84:V87)</f>
        <v>#NUM!</v>
      </c>
      <c r="Q99" s="23" t="e">
        <f t="shared" si="12"/>
        <v>#NUM!</v>
      </c>
      <c r="R99" s="24" t="e">
        <f t="shared" si="13"/>
        <v>#NUM!</v>
      </c>
    </row>
    <row r="100" spans="15:21">
      <c r="O100" s="21" t="s">
        <v>73</v>
      </c>
      <c r="P100" s="23" t="e">
        <f>MMULT(AA84:AD84,W84:W87)</f>
        <v>#NUM!</v>
      </c>
      <c r="Q100" s="23" t="e">
        <f t="shared" si="12"/>
        <v>#NUM!</v>
      </c>
      <c r="R100" s="24" t="e">
        <f t="shared" si="13"/>
        <v>#NUM!</v>
      </c>
    </row>
    <row r="101" spans="15:21" ht="17" thickBot="1">
      <c r="O101" s="21" t="s">
        <v>74</v>
      </c>
      <c r="P101" s="23" t="e">
        <f>MMULT(AA85:AD85,X84:X87)</f>
        <v>#NUM!</v>
      </c>
      <c r="Q101" s="23" t="e">
        <f t="shared" si="12"/>
        <v>#NUM!</v>
      </c>
      <c r="R101" s="25" t="e">
        <f t="shared" si="13"/>
        <v>#NUM!</v>
      </c>
    </row>
    <row r="102" spans="15:21" ht="17" thickBot="1">
      <c r="R102" s="26" t="e">
        <f>SUM(R92:R101)</f>
        <v>#NUM!</v>
      </c>
    </row>
    <row r="104" spans="15:21">
      <c r="P104" s="22" t="s">
        <v>90</v>
      </c>
      <c r="Q104" s="22" t="s">
        <v>96</v>
      </c>
      <c r="R104" s="22" t="s">
        <v>95</v>
      </c>
    </row>
    <row r="105" spans="15:21">
      <c r="O105" s="22" t="s">
        <v>32</v>
      </c>
      <c r="P105" s="24" t="e">
        <f>AB57</f>
        <v>#NUM!</v>
      </c>
      <c r="Q105" s="24" t="e">
        <f>ABS(P105)</f>
        <v>#NUM!</v>
      </c>
      <c r="R105" s="24" t="e">
        <f>IF(Q105&lt;M5,0,1)</f>
        <v>#NUM!</v>
      </c>
    </row>
    <row r="106" spans="15:21" ht="17" thickBot="1">
      <c r="O106" s="22" t="s">
        <v>34</v>
      </c>
      <c r="P106" s="24" t="e">
        <f>AB59</f>
        <v>#NUM!</v>
      </c>
      <c r="Q106" s="24" t="e">
        <f>ABS(P106)</f>
        <v>#NUM!</v>
      </c>
      <c r="R106" s="25" t="e">
        <f>IF(Q106&lt;M5,0,1)</f>
        <v>#NUM!</v>
      </c>
    </row>
    <row r="107" spans="15:21" ht="17" thickBot="1">
      <c r="O107" s="27"/>
      <c r="P107" s="27"/>
      <c r="R107" s="26" t="e">
        <f>SUM(R105:R106)</f>
        <v>#NUM!</v>
      </c>
    </row>
    <row r="108" spans="15:21" ht="17" thickBot="1"/>
    <row r="109" spans="15:21" ht="17" thickBot="1">
      <c r="P109" s="21" t="s">
        <v>97</v>
      </c>
      <c r="Q109" s="26" t="e">
        <f>(R102+R107)*10^2</f>
        <v>#NUM!</v>
      </c>
    </row>
  </sheetData>
  <mergeCells count="31">
    <mergeCell ref="O35:Z35"/>
    <mergeCell ref="AB35:AI35"/>
    <mergeCell ref="O50:V50"/>
    <mergeCell ref="W52:W59"/>
    <mergeCell ref="O28:R28"/>
    <mergeCell ref="Y52:Y59"/>
    <mergeCell ref="O19:AL19"/>
    <mergeCell ref="T28:W28"/>
    <mergeCell ref="Y28:AB28"/>
    <mergeCell ref="AD28:AG28"/>
    <mergeCell ref="AI28:AL28"/>
    <mergeCell ref="O21:R21"/>
    <mergeCell ref="T21:W21"/>
    <mergeCell ref="Y21:AB21"/>
    <mergeCell ref="AD21:AG21"/>
    <mergeCell ref="AI21:AL21"/>
    <mergeCell ref="O61:AL61"/>
    <mergeCell ref="O75:X75"/>
    <mergeCell ref="O82:X82"/>
    <mergeCell ref="Z75:AD75"/>
    <mergeCell ref="O89:AL89"/>
    <mergeCell ref="O63:R63"/>
    <mergeCell ref="T63:W63"/>
    <mergeCell ref="Y63:AB63"/>
    <mergeCell ref="AD63:AG63"/>
    <mergeCell ref="AI63:AL63"/>
    <mergeCell ref="O69:R69"/>
    <mergeCell ref="T69:W69"/>
    <mergeCell ref="Y69:AB69"/>
    <mergeCell ref="AD69:AG69"/>
    <mergeCell ref="AI69:AL69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A_Initialise">
                <anchor moveWithCells="1" sizeWithCells="1">
                  <from>
                    <xdr:col>0</xdr:col>
                    <xdr:colOff>431800</xdr:colOff>
                    <xdr:row>11</xdr:row>
                    <xdr:rowOff>12700</xdr:rowOff>
                  </from>
                  <to>
                    <xdr:col>2</xdr:col>
                    <xdr:colOff>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FA_Run">
                <anchor moveWithCells="1" sizeWithCells="1">
                  <from>
                    <xdr:col>0</xdr:col>
                    <xdr:colOff>431800</xdr:colOff>
                    <xdr:row>13</xdr:row>
                    <xdr:rowOff>38100</xdr:rowOff>
                  </from>
                  <to>
                    <xdr:col>2</xdr:col>
                    <xdr:colOff>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FA_Graphs">
                <anchor moveWithCells="1" sizeWithCells="1">
                  <from>
                    <xdr:col>0</xdr:col>
                    <xdr:colOff>419100</xdr:colOff>
                    <xdr:row>15</xdr:row>
                    <xdr:rowOff>63500</xdr:rowOff>
                  </from>
                  <to>
                    <xdr:col>1</xdr:col>
                    <xdr:colOff>812800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Delete_Graphs">
                <anchor moveWithCells="1" sizeWithCells="1">
                  <from>
                    <xdr:col>0</xdr:col>
                    <xdr:colOff>431800</xdr:colOff>
                    <xdr:row>17</xdr:row>
                    <xdr:rowOff>76200</xdr:rowOff>
                  </from>
                  <to>
                    <xdr:col>2</xdr:col>
                    <xdr:colOff>0</xdr:colOff>
                    <xdr:row>19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880B7-E2B1-4B4A-A25A-8861E94EF700}">
  <sheetPr codeName="Sheet4"/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C1B96-2FA3-9343-8785-46D12FA3FE2E}">
  <sheetPr codeName="Sheet14"/>
  <dimension ref="A1"/>
  <sheetViews>
    <sheetView workbookViewId="0">
      <selection activeCell="F14" sqref="F14"/>
    </sheetView>
  </sheetViews>
  <sheetFormatPr baseColWidth="10" defaultRowHeight="16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DFD97-2896-2541-968F-A7D454ADF555}">
  <sheetPr codeName="Sheet6"/>
  <dimension ref="A1:A10"/>
  <sheetViews>
    <sheetView workbookViewId="0"/>
  </sheetViews>
  <sheetFormatPr baseColWidth="10" defaultRowHeight="16"/>
  <sheetData>
    <row r="1" spans="1:1">
      <c r="A1">
        <v>991.62580079169868</v>
      </c>
    </row>
    <row r="2" spans="1:1">
      <c r="A2">
        <v>970.51410322700553</v>
      </c>
    </row>
    <row r="3" spans="1:1">
      <c r="A3">
        <v>969.35650530034945</v>
      </c>
    </row>
    <row r="4" spans="1:1">
      <c r="A4">
        <v>968.73797597989255</v>
      </c>
    </row>
    <row r="5" spans="1:1">
      <c r="A5">
        <v>968.42871558725722</v>
      </c>
    </row>
    <row r="6" spans="1:1">
      <c r="A6">
        <v>968.21212900366811</v>
      </c>
    </row>
    <row r="7" spans="1:1">
      <c r="A7">
        <v>968.21092599145641</v>
      </c>
    </row>
    <row r="8" spans="1:1">
      <c r="A8">
        <v>968.20975204758861</v>
      </c>
    </row>
    <row r="9" spans="1:1">
      <c r="A9">
        <v>968.20857827571842</v>
      </c>
    </row>
    <row r="10" spans="1:1">
      <c r="A10">
        <v>968.20743944953233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1A33-89BB-1A4B-B4F1-F3FBD159F4CF}">
  <sheetPr codeName="Sheet1"/>
  <dimension ref="A1:C500"/>
  <sheetViews>
    <sheetView workbookViewId="0">
      <selection activeCell="B19" sqref="B19"/>
    </sheetView>
  </sheetViews>
  <sheetFormatPr baseColWidth="10" defaultRowHeight="16"/>
  <cols>
    <col min="1" max="2" width="12.1640625" style="6" bestFit="1" customWidth="1"/>
    <col min="3" max="3" width="10.83203125" style="5"/>
  </cols>
  <sheetData>
    <row r="1" spans="1:3">
      <c r="A1">
        <v>196318.34905529453</v>
      </c>
      <c r="B1">
        <v>991.62580079169868</v>
      </c>
      <c r="C1"/>
    </row>
    <row r="2" spans="1:3">
      <c r="A2">
        <v>197930.40044751449</v>
      </c>
      <c r="B2">
        <v>970.51410322700553</v>
      </c>
      <c r="C2"/>
    </row>
    <row r="3" spans="1:3">
      <c r="A3">
        <v>197928.72664059696</v>
      </c>
      <c r="B3">
        <v>969.35650530034945</v>
      </c>
      <c r="C3"/>
    </row>
    <row r="4" spans="1:3">
      <c r="A4">
        <v>97254.299878444275</v>
      </c>
      <c r="B4">
        <v>968.73797597989255</v>
      </c>
      <c r="C4"/>
    </row>
    <row r="5" spans="1:3">
      <c r="A5">
        <v>97254.259765224138</v>
      </c>
      <c r="B5">
        <v>968.42871558725722</v>
      </c>
      <c r="C5"/>
    </row>
    <row r="6" spans="1:3">
      <c r="A6">
        <v>97342.189067182713</v>
      </c>
      <c r="B6">
        <v>968.21212900366811</v>
      </c>
      <c r="C6"/>
    </row>
    <row r="7" spans="1:3">
      <c r="A7">
        <v>97620.983803441166</v>
      </c>
      <c r="B7">
        <v>968.21092599145641</v>
      </c>
      <c r="C7"/>
    </row>
    <row r="8" spans="1:3">
      <c r="A8">
        <v>97620.98364780574</v>
      </c>
      <c r="B8">
        <v>968.20975204758861</v>
      </c>
      <c r="C8"/>
    </row>
    <row r="9" spans="1:3">
      <c r="A9">
        <v>97620.855589869883</v>
      </c>
      <c r="B9">
        <v>968.20857827571842</v>
      </c>
      <c r="C9"/>
    </row>
    <row r="10" spans="1:3">
      <c r="A10">
        <v>97620.718740897209</v>
      </c>
      <c r="B10">
        <v>968.20743944953233</v>
      </c>
      <c r="C10"/>
    </row>
    <row r="11" spans="1:3">
      <c r="A11"/>
      <c r="B11"/>
      <c r="C11"/>
    </row>
    <row r="12" spans="1:3">
      <c r="A12"/>
      <c r="B12"/>
      <c r="C12"/>
    </row>
    <row r="13" spans="1:3">
      <c r="A13"/>
      <c r="B13"/>
      <c r="C13"/>
    </row>
    <row r="14" spans="1:3">
      <c r="A14"/>
      <c r="B14"/>
      <c r="C14"/>
    </row>
    <row r="15" spans="1:3">
      <c r="A15"/>
      <c r="B15"/>
      <c r="C15"/>
    </row>
    <row r="16" spans="1:3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  <row r="202" spans="1:3">
      <c r="A202"/>
      <c r="B202"/>
      <c r="C202"/>
    </row>
    <row r="203" spans="1:3">
      <c r="A203"/>
      <c r="B203"/>
      <c r="C203"/>
    </row>
    <row r="204" spans="1:3">
      <c r="A204"/>
      <c r="B204"/>
      <c r="C204"/>
    </row>
    <row r="205" spans="1:3">
      <c r="A205"/>
      <c r="B205"/>
      <c r="C205"/>
    </row>
    <row r="206" spans="1:3">
      <c r="A206"/>
      <c r="B206"/>
      <c r="C206"/>
    </row>
    <row r="207" spans="1:3">
      <c r="A207"/>
      <c r="B207"/>
      <c r="C207"/>
    </row>
    <row r="208" spans="1:3">
      <c r="A208"/>
      <c r="B208"/>
      <c r="C208"/>
    </row>
    <row r="209" spans="1:3">
      <c r="A209"/>
      <c r="B209"/>
      <c r="C209"/>
    </row>
    <row r="210" spans="1:3">
      <c r="A210"/>
      <c r="B210"/>
      <c r="C210"/>
    </row>
    <row r="211" spans="1:3">
      <c r="A211"/>
      <c r="B211"/>
      <c r="C211"/>
    </row>
    <row r="212" spans="1:3">
      <c r="A212"/>
      <c r="B212"/>
      <c r="C212"/>
    </row>
    <row r="213" spans="1:3">
      <c r="A213"/>
      <c r="B213"/>
      <c r="C213"/>
    </row>
    <row r="214" spans="1:3">
      <c r="A214"/>
      <c r="B214"/>
      <c r="C214"/>
    </row>
    <row r="215" spans="1:3">
      <c r="A215"/>
      <c r="B215"/>
      <c r="C215"/>
    </row>
    <row r="216" spans="1:3">
      <c r="A216"/>
      <c r="B216"/>
      <c r="C216"/>
    </row>
    <row r="217" spans="1:3">
      <c r="A217"/>
      <c r="B217"/>
      <c r="C217"/>
    </row>
    <row r="218" spans="1:3">
      <c r="A218"/>
      <c r="B218"/>
      <c r="C218"/>
    </row>
    <row r="219" spans="1:3">
      <c r="A219"/>
      <c r="B219"/>
      <c r="C219"/>
    </row>
    <row r="220" spans="1:3">
      <c r="A220"/>
      <c r="B220"/>
      <c r="C220"/>
    </row>
    <row r="221" spans="1:3">
      <c r="A221"/>
      <c r="B221"/>
      <c r="C221"/>
    </row>
    <row r="222" spans="1:3">
      <c r="A222"/>
      <c r="B222"/>
      <c r="C222"/>
    </row>
    <row r="223" spans="1:3">
      <c r="A223"/>
      <c r="B223"/>
      <c r="C223"/>
    </row>
    <row r="224" spans="1:3">
      <c r="A224"/>
      <c r="B224"/>
      <c r="C224"/>
    </row>
    <row r="225" spans="1:3">
      <c r="A225"/>
      <c r="B225"/>
      <c r="C225"/>
    </row>
    <row r="226" spans="1:3">
      <c r="A226"/>
      <c r="B226"/>
      <c r="C226"/>
    </row>
    <row r="227" spans="1:3">
      <c r="A227"/>
      <c r="B227"/>
      <c r="C227"/>
    </row>
    <row r="228" spans="1:3">
      <c r="A228"/>
      <c r="B228"/>
      <c r="C228"/>
    </row>
    <row r="229" spans="1:3">
      <c r="A229"/>
      <c r="B229"/>
      <c r="C229"/>
    </row>
    <row r="230" spans="1:3">
      <c r="A230"/>
      <c r="B230"/>
      <c r="C230"/>
    </row>
    <row r="231" spans="1:3">
      <c r="A231"/>
      <c r="B231"/>
      <c r="C231"/>
    </row>
    <row r="232" spans="1:3">
      <c r="A232"/>
      <c r="B232"/>
      <c r="C232"/>
    </row>
    <row r="233" spans="1:3">
      <c r="A233"/>
      <c r="B233"/>
      <c r="C233"/>
    </row>
    <row r="234" spans="1:3">
      <c r="A234"/>
      <c r="B234"/>
      <c r="C234"/>
    </row>
    <row r="235" spans="1:3">
      <c r="A235"/>
      <c r="B235"/>
      <c r="C235"/>
    </row>
    <row r="236" spans="1:3">
      <c r="A236"/>
      <c r="B236"/>
      <c r="C236"/>
    </row>
    <row r="237" spans="1:3">
      <c r="A237"/>
      <c r="B237"/>
      <c r="C237"/>
    </row>
    <row r="238" spans="1:3">
      <c r="A238"/>
      <c r="B238"/>
      <c r="C238"/>
    </row>
    <row r="239" spans="1:3">
      <c r="A239"/>
      <c r="B239"/>
      <c r="C239"/>
    </row>
    <row r="240" spans="1:3">
      <c r="A240"/>
      <c r="B240"/>
      <c r="C240"/>
    </row>
    <row r="241" spans="1:3">
      <c r="A241"/>
      <c r="B241"/>
      <c r="C241"/>
    </row>
    <row r="242" spans="1:3">
      <c r="A242"/>
      <c r="B242"/>
      <c r="C242"/>
    </row>
    <row r="243" spans="1:3">
      <c r="A243"/>
      <c r="B243"/>
      <c r="C243"/>
    </row>
    <row r="244" spans="1:3">
      <c r="A244"/>
      <c r="B244"/>
      <c r="C244"/>
    </row>
    <row r="245" spans="1:3">
      <c r="A245"/>
      <c r="B245"/>
      <c r="C245"/>
    </row>
    <row r="246" spans="1:3">
      <c r="A246"/>
      <c r="B246"/>
      <c r="C246"/>
    </row>
    <row r="247" spans="1:3">
      <c r="A247"/>
      <c r="B247"/>
      <c r="C247"/>
    </row>
    <row r="248" spans="1:3">
      <c r="A248"/>
      <c r="B248"/>
      <c r="C248"/>
    </row>
    <row r="249" spans="1:3">
      <c r="A249"/>
      <c r="B249"/>
      <c r="C249"/>
    </row>
    <row r="250" spans="1:3">
      <c r="A250"/>
      <c r="B250"/>
      <c r="C250"/>
    </row>
    <row r="251" spans="1:3">
      <c r="A251"/>
      <c r="B251"/>
      <c r="C251"/>
    </row>
    <row r="252" spans="1:3">
      <c r="A252"/>
      <c r="B252"/>
      <c r="C252"/>
    </row>
    <row r="253" spans="1:3">
      <c r="A253"/>
      <c r="B253"/>
      <c r="C253"/>
    </row>
    <row r="254" spans="1:3">
      <c r="A254"/>
      <c r="B254"/>
      <c r="C254"/>
    </row>
    <row r="255" spans="1:3">
      <c r="A255"/>
      <c r="B255"/>
      <c r="C255"/>
    </row>
    <row r="256" spans="1:3">
      <c r="A256"/>
      <c r="B256"/>
      <c r="C256"/>
    </row>
    <row r="257" spans="1:3">
      <c r="A257"/>
      <c r="B257"/>
      <c r="C257"/>
    </row>
    <row r="258" spans="1:3">
      <c r="A258"/>
      <c r="B258"/>
      <c r="C258"/>
    </row>
    <row r="259" spans="1:3">
      <c r="A259"/>
      <c r="B259"/>
      <c r="C259"/>
    </row>
    <row r="260" spans="1:3">
      <c r="A260"/>
      <c r="B260"/>
      <c r="C260"/>
    </row>
    <row r="261" spans="1:3">
      <c r="A261"/>
      <c r="B261"/>
      <c r="C261"/>
    </row>
    <row r="262" spans="1:3">
      <c r="A262"/>
      <c r="B262"/>
      <c r="C262"/>
    </row>
    <row r="263" spans="1:3">
      <c r="A263"/>
      <c r="B263"/>
      <c r="C263"/>
    </row>
    <row r="264" spans="1:3">
      <c r="A264"/>
      <c r="B264"/>
      <c r="C264"/>
    </row>
    <row r="265" spans="1:3">
      <c r="A265"/>
      <c r="B265"/>
      <c r="C265"/>
    </row>
    <row r="266" spans="1:3">
      <c r="A266"/>
      <c r="B266"/>
      <c r="C266"/>
    </row>
    <row r="267" spans="1:3">
      <c r="A267"/>
      <c r="B267"/>
      <c r="C267"/>
    </row>
    <row r="268" spans="1:3">
      <c r="A268"/>
      <c r="B268"/>
      <c r="C268"/>
    </row>
    <row r="269" spans="1:3">
      <c r="A269"/>
      <c r="B269"/>
      <c r="C269"/>
    </row>
    <row r="270" spans="1:3">
      <c r="A270"/>
      <c r="B270"/>
      <c r="C270"/>
    </row>
    <row r="271" spans="1:3">
      <c r="A271"/>
      <c r="B271"/>
      <c r="C271"/>
    </row>
    <row r="272" spans="1:3">
      <c r="A272"/>
      <c r="B272"/>
      <c r="C272"/>
    </row>
    <row r="273" spans="1:3">
      <c r="A273"/>
      <c r="B273"/>
      <c r="C273"/>
    </row>
    <row r="274" spans="1:3">
      <c r="A274"/>
      <c r="B274"/>
      <c r="C274"/>
    </row>
    <row r="275" spans="1:3">
      <c r="A275"/>
      <c r="B275"/>
      <c r="C275"/>
    </row>
    <row r="276" spans="1:3">
      <c r="A276"/>
      <c r="B276"/>
      <c r="C276"/>
    </row>
    <row r="277" spans="1:3">
      <c r="A277"/>
      <c r="B277"/>
      <c r="C277"/>
    </row>
    <row r="278" spans="1:3">
      <c r="A278"/>
      <c r="B278"/>
      <c r="C278"/>
    </row>
    <row r="279" spans="1:3">
      <c r="A279"/>
      <c r="B279"/>
      <c r="C279"/>
    </row>
    <row r="280" spans="1:3">
      <c r="A280"/>
      <c r="B280"/>
      <c r="C280"/>
    </row>
    <row r="281" spans="1:3">
      <c r="A281"/>
      <c r="B281"/>
      <c r="C281"/>
    </row>
    <row r="282" spans="1:3">
      <c r="A282"/>
      <c r="B282"/>
      <c r="C282"/>
    </row>
    <row r="283" spans="1:3">
      <c r="A283"/>
      <c r="B283"/>
      <c r="C283"/>
    </row>
    <row r="284" spans="1:3">
      <c r="A284"/>
      <c r="B284"/>
      <c r="C284"/>
    </row>
    <row r="285" spans="1:3">
      <c r="A285"/>
      <c r="B285"/>
      <c r="C285"/>
    </row>
    <row r="286" spans="1:3">
      <c r="A286"/>
      <c r="B286"/>
      <c r="C286"/>
    </row>
    <row r="287" spans="1:3">
      <c r="A287"/>
      <c r="B287"/>
      <c r="C287"/>
    </row>
    <row r="288" spans="1:3">
      <c r="A288"/>
      <c r="B288"/>
      <c r="C288"/>
    </row>
    <row r="289" spans="1:3">
      <c r="A289"/>
      <c r="B289"/>
      <c r="C289"/>
    </row>
    <row r="290" spans="1:3">
      <c r="A290"/>
      <c r="B290"/>
      <c r="C290"/>
    </row>
    <row r="291" spans="1:3">
      <c r="A291"/>
      <c r="B291"/>
      <c r="C291"/>
    </row>
    <row r="292" spans="1:3">
      <c r="A292"/>
      <c r="B292"/>
      <c r="C292"/>
    </row>
    <row r="293" spans="1:3">
      <c r="A293"/>
      <c r="B293"/>
      <c r="C293"/>
    </row>
    <row r="294" spans="1:3">
      <c r="A294"/>
      <c r="B294"/>
      <c r="C294"/>
    </row>
    <row r="295" spans="1:3">
      <c r="A295"/>
      <c r="B295"/>
      <c r="C295"/>
    </row>
    <row r="296" spans="1:3">
      <c r="A296"/>
      <c r="B296"/>
      <c r="C296"/>
    </row>
    <row r="297" spans="1:3">
      <c r="A297"/>
      <c r="B297"/>
      <c r="C297"/>
    </row>
    <row r="298" spans="1:3">
      <c r="A298"/>
      <c r="B298"/>
      <c r="C298"/>
    </row>
    <row r="299" spans="1:3">
      <c r="A299"/>
      <c r="B299"/>
      <c r="C299"/>
    </row>
    <row r="300" spans="1:3">
      <c r="A300"/>
      <c r="B300"/>
      <c r="C300"/>
    </row>
    <row r="301" spans="1:3">
      <c r="A301"/>
      <c r="B301"/>
      <c r="C301"/>
    </row>
    <row r="302" spans="1:3">
      <c r="A302"/>
      <c r="B302"/>
      <c r="C302"/>
    </row>
    <row r="303" spans="1:3">
      <c r="A303"/>
      <c r="B303"/>
      <c r="C303"/>
    </row>
    <row r="304" spans="1:3">
      <c r="A304"/>
      <c r="B304"/>
      <c r="C304"/>
    </row>
    <row r="305" spans="1:3">
      <c r="A305"/>
      <c r="B305"/>
      <c r="C305"/>
    </row>
    <row r="306" spans="1:3">
      <c r="A306"/>
      <c r="B306"/>
      <c r="C306"/>
    </row>
    <row r="307" spans="1:3">
      <c r="A307"/>
      <c r="B307"/>
      <c r="C307"/>
    </row>
    <row r="308" spans="1:3">
      <c r="A308"/>
      <c r="B308"/>
      <c r="C308"/>
    </row>
    <row r="309" spans="1:3">
      <c r="A309"/>
      <c r="B309"/>
      <c r="C309"/>
    </row>
    <row r="310" spans="1:3">
      <c r="A310"/>
      <c r="B310"/>
      <c r="C310"/>
    </row>
    <row r="311" spans="1:3">
      <c r="A311"/>
      <c r="B311"/>
      <c r="C311"/>
    </row>
    <row r="312" spans="1:3">
      <c r="A312"/>
      <c r="B312"/>
      <c r="C312"/>
    </row>
    <row r="313" spans="1:3">
      <c r="A313"/>
      <c r="B313"/>
      <c r="C313"/>
    </row>
    <row r="314" spans="1:3">
      <c r="A314"/>
      <c r="B314"/>
      <c r="C314"/>
    </row>
    <row r="315" spans="1:3">
      <c r="A315"/>
      <c r="B315"/>
      <c r="C315"/>
    </row>
    <row r="316" spans="1:3">
      <c r="A316"/>
      <c r="B316"/>
      <c r="C316"/>
    </row>
    <row r="317" spans="1:3">
      <c r="A317"/>
      <c r="B317"/>
      <c r="C317"/>
    </row>
    <row r="318" spans="1:3">
      <c r="A318"/>
      <c r="B318"/>
      <c r="C318"/>
    </row>
    <row r="319" spans="1:3">
      <c r="A319"/>
      <c r="B319"/>
      <c r="C319"/>
    </row>
    <row r="320" spans="1:3">
      <c r="A320"/>
      <c r="B320"/>
      <c r="C320"/>
    </row>
    <row r="321" spans="1:3">
      <c r="A321"/>
      <c r="B321"/>
      <c r="C321"/>
    </row>
    <row r="322" spans="1:3">
      <c r="A322"/>
      <c r="B322"/>
      <c r="C322"/>
    </row>
    <row r="323" spans="1:3">
      <c r="A323"/>
      <c r="B323"/>
      <c r="C323"/>
    </row>
    <row r="324" spans="1:3">
      <c r="A324"/>
      <c r="B324"/>
      <c r="C324"/>
    </row>
    <row r="325" spans="1:3">
      <c r="A325"/>
      <c r="B325"/>
      <c r="C325"/>
    </row>
    <row r="326" spans="1:3">
      <c r="A326"/>
      <c r="B326"/>
      <c r="C326"/>
    </row>
    <row r="327" spans="1:3">
      <c r="A327"/>
      <c r="B327"/>
      <c r="C327"/>
    </row>
    <row r="328" spans="1:3">
      <c r="A328"/>
      <c r="B328"/>
      <c r="C328"/>
    </row>
    <row r="329" spans="1:3">
      <c r="A329"/>
      <c r="B329"/>
      <c r="C329"/>
    </row>
    <row r="330" spans="1:3">
      <c r="A330"/>
      <c r="B330"/>
      <c r="C330"/>
    </row>
    <row r="331" spans="1:3">
      <c r="A331"/>
      <c r="B331"/>
      <c r="C331"/>
    </row>
    <row r="332" spans="1:3">
      <c r="A332"/>
      <c r="B332"/>
      <c r="C332"/>
    </row>
    <row r="333" spans="1:3">
      <c r="A333"/>
      <c r="B333"/>
      <c r="C333"/>
    </row>
    <row r="334" spans="1:3">
      <c r="A334"/>
      <c r="B334"/>
      <c r="C334"/>
    </row>
    <row r="335" spans="1:3">
      <c r="A335"/>
      <c r="B335"/>
      <c r="C335"/>
    </row>
    <row r="336" spans="1:3">
      <c r="A336"/>
      <c r="B336"/>
      <c r="C336"/>
    </row>
    <row r="337" spans="1:3">
      <c r="A337"/>
      <c r="B337"/>
      <c r="C337"/>
    </row>
    <row r="338" spans="1:3">
      <c r="A338"/>
      <c r="B338"/>
      <c r="C338"/>
    </row>
    <row r="339" spans="1:3">
      <c r="A339"/>
      <c r="B339"/>
      <c r="C339"/>
    </row>
    <row r="340" spans="1:3">
      <c r="A340"/>
      <c r="B340"/>
      <c r="C340"/>
    </row>
    <row r="341" spans="1:3">
      <c r="A341"/>
      <c r="B341"/>
      <c r="C341"/>
    </row>
    <row r="342" spans="1:3">
      <c r="A342"/>
      <c r="B342"/>
      <c r="C342"/>
    </row>
    <row r="343" spans="1:3">
      <c r="A343"/>
      <c r="B343"/>
      <c r="C343"/>
    </row>
    <row r="344" spans="1:3">
      <c r="A344"/>
      <c r="B344"/>
      <c r="C344"/>
    </row>
    <row r="345" spans="1:3">
      <c r="A345"/>
      <c r="B345"/>
      <c r="C345"/>
    </row>
    <row r="346" spans="1:3">
      <c r="A346"/>
      <c r="B346"/>
      <c r="C346"/>
    </row>
    <row r="347" spans="1:3">
      <c r="A347"/>
      <c r="B347"/>
      <c r="C347"/>
    </row>
    <row r="348" spans="1:3">
      <c r="A348"/>
      <c r="B348"/>
      <c r="C348"/>
    </row>
    <row r="349" spans="1:3">
      <c r="A349"/>
      <c r="B349"/>
      <c r="C349"/>
    </row>
    <row r="350" spans="1:3">
      <c r="A350"/>
      <c r="B350"/>
      <c r="C350"/>
    </row>
    <row r="351" spans="1:3">
      <c r="A351"/>
      <c r="B351"/>
      <c r="C351"/>
    </row>
    <row r="352" spans="1:3">
      <c r="A352"/>
      <c r="B352"/>
      <c r="C352"/>
    </row>
    <row r="353" spans="1:3">
      <c r="A353"/>
      <c r="B353"/>
      <c r="C353"/>
    </row>
    <row r="354" spans="1:3">
      <c r="A354"/>
      <c r="B354"/>
      <c r="C354"/>
    </row>
    <row r="355" spans="1:3">
      <c r="A355"/>
      <c r="B355"/>
      <c r="C355"/>
    </row>
    <row r="356" spans="1:3">
      <c r="A356"/>
      <c r="B356"/>
      <c r="C356"/>
    </row>
    <row r="357" spans="1:3">
      <c r="A357"/>
      <c r="B357"/>
      <c r="C357"/>
    </row>
    <row r="358" spans="1:3">
      <c r="A358"/>
      <c r="B358"/>
      <c r="C358"/>
    </row>
    <row r="359" spans="1:3">
      <c r="A359"/>
      <c r="B359"/>
      <c r="C359"/>
    </row>
    <row r="360" spans="1:3">
      <c r="A360"/>
      <c r="B360"/>
      <c r="C360"/>
    </row>
    <row r="361" spans="1:3">
      <c r="A361"/>
      <c r="B361"/>
      <c r="C361"/>
    </row>
    <row r="362" spans="1:3">
      <c r="A362"/>
      <c r="B362"/>
      <c r="C362"/>
    </row>
    <row r="363" spans="1:3">
      <c r="A363"/>
      <c r="B363"/>
      <c r="C363"/>
    </row>
    <row r="364" spans="1:3">
      <c r="A364"/>
      <c r="B364"/>
      <c r="C364"/>
    </row>
    <row r="365" spans="1:3">
      <c r="A365"/>
      <c r="B365"/>
      <c r="C365"/>
    </row>
    <row r="366" spans="1:3">
      <c r="A366"/>
      <c r="B366"/>
      <c r="C366"/>
    </row>
    <row r="367" spans="1:3">
      <c r="A367"/>
      <c r="B367"/>
      <c r="C367"/>
    </row>
    <row r="368" spans="1:3">
      <c r="A368"/>
      <c r="B368"/>
      <c r="C368"/>
    </row>
    <row r="369" spans="1:3">
      <c r="A369"/>
      <c r="B369"/>
      <c r="C369"/>
    </row>
    <row r="370" spans="1:3">
      <c r="A370"/>
      <c r="B370"/>
      <c r="C370"/>
    </row>
    <row r="371" spans="1:3">
      <c r="A371"/>
      <c r="B371"/>
      <c r="C371"/>
    </row>
    <row r="372" spans="1:3">
      <c r="A372"/>
      <c r="B372"/>
      <c r="C372"/>
    </row>
    <row r="373" spans="1:3">
      <c r="A373"/>
      <c r="B373"/>
      <c r="C373"/>
    </row>
    <row r="374" spans="1:3">
      <c r="A374"/>
      <c r="B374"/>
      <c r="C374"/>
    </row>
    <row r="375" spans="1:3">
      <c r="A375"/>
      <c r="B375"/>
      <c r="C375"/>
    </row>
    <row r="376" spans="1:3">
      <c r="A376"/>
      <c r="B376"/>
      <c r="C376"/>
    </row>
    <row r="377" spans="1:3">
      <c r="A377"/>
      <c r="B377"/>
      <c r="C377"/>
    </row>
    <row r="378" spans="1:3">
      <c r="A378"/>
      <c r="B378"/>
      <c r="C378"/>
    </row>
    <row r="379" spans="1:3">
      <c r="A379"/>
      <c r="B379"/>
      <c r="C379"/>
    </row>
    <row r="380" spans="1:3">
      <c r="A380"/>
      <c r="B380"/>
      <c r="C380"/>
    </row>
    <row r="381" spans="1:3">
      <c r="A381"/>
      <c r="B381"/>
      <c r="C381"/>
    </row>
    <row r="382" spans="1:3">
      <c r="A382"/>
      <c r="B382"/>
      <c r="C382"/>
    </row>
    <row r="383" spans="1:3">
      <c r="A383"/>
      <c r="B383"/>
      <c r="C383"/>
    </row>
    <row r="384" spans="1:3">
      <c r="A384"/>
      <c r="B384"/>
      <c r="C384"/>
    </row>
    <row r="385" spans="1:3">
      <c r="A385"/>
      <c r="B385"/>
      <c r="C385"/>
    </row>
    <row r="386" spans="1:3">
      <c r="A386"/>
      <c r="B386"/>
      <c r="C386"/>
    </row>
    <row r="387" spans="1:3">
      <c r="A387"/>
      <c r="B387"/>
      <c r="C387"/>
    </row>
    <row r="388" spans="1:3">
      <c r="A388"/>
      <c r="B388"/>
      <c r="C388"/>
    </row>
    <row r="389" spans="1:3">
      <c r="A389"/>
      <c r="B389"/>
      <c r="C389"/>
    </row>
    <row r="390" spans="1:3">
      <c r="A390"/>
      <c r="B390"/>
      <c r="C390"/>
    </row>
    <row r="391" spans="1:3">
      <c r="A391"/>
      <c r="B391"/>
      <c r="C391"/>
    </row>
    <row r="392" spans="1:3">
      <c r="A392"/>
      <c r="B392"/>
      <c r="C392"/>
    </row>
    <row r="393" spans="1:3">
      <c r="A393"/>
      <c r="B393"/>
      <c r="C393"/>
    </row>
    <row r="394" spans="1:3">
      <c r="A394"/>
      <c r="B394"/>
      <c r="C394"/>
    </row>
    <row r="395" spans="1:3">
      <c r="A395"/>
      <c r="B395"/>
      <c r="C395"/>
    </row>
    <row r="396" spans="1:3">
      <c r="A396"/>
      <c r="B396"/>
      <c r="C396"/>
    </row>
    <row r="397" spans="1:3">
      <c r="A397"/>
      <c r="B397"/>
      <c r="C397"/>
    </row>
    <row r="398" spans="1:3">
      <c r="A398"/>
      <c r="B398"/>
      <c r="C398"/>
    </row>
    <row r="399" spans="1:3">
      <c r="A399"/>
      <c r="B399"/>
      <c r="C399"/>
    </row>
    <row r="400" spans="1:3">
      <c r="A400"/>
      <c r="B400"/>
      <c r="C400"/>
    </row>
    <row r="401" spans="1:3">
      <c r="A401"/>
      <c r="B401"/>
      <c r="C401"/>
    </row>
    <row r="402" spans="1:3">
      <c r="A402"/>
      <c r="B402"/>
      <c r="C402"/>
    </row>
    <row r="403" spans="1:3">
      <c r="A403"/>
      <c r="B403"/>
      <c r="C403"/>
    </row>
    <row r="404" spans="1:3">
      <c r="A404"/>
      <c r="B404"/>
      <c r="C404"/>
    </row>
    <row r="405" spans="1:3">
      <c r="A405"/>
      <c r="B405"/>
      <c r="C405"/>
    </row>
    <row r="406" spans="1:3">
      <c r="A406"/>
      <c r="B406"/>
      <c r="C406"/>
    </row>
    <row r="407" spans="1:3">
      <c r="A407"/>
      <c r="B407"/>
      <c r="C407"/>
    </row>
    <row r="408" spans="1:3">
      <c r="A408"/>
      <c r="B408"/>
      <c r="C408"/>
    </row>
    <row r="409" spans="1:3">
      <c r="A409"/>
      <c r="B409"/>
      <c r="C409"/>
    </row>
    <row r="410" spans="1:3">
      <c r="A410"/>
      <c r="B410"/>
      <c r="C410"/>
    </row>
    <row r="411" spans="1:3">
      <c r="A411"/>
      <c r="B411"/>
      <c r="C411"/>
    </row>
    <row r="412" spans="1:3">
      <c r="A412"/>
      <c r="B412"/>
      <c r="C412"/>
    </row>
    <row r="413" spans="1:3">
      <c r="A413"/>
      <c r="B413"/>
      <c r="C413"/>
    </row>
    <row r="414" spans="1:3">
      <c r="A414"/>
      <c r="B414"/>
      <c r="C414"/>
    </row>
    <row r="415" spans="1:3">
      <c r="A415"/>
      <c r="B415"/>
      <c r="C415"/>
    </row>
    <row r="416" spans="1:3">
      <c r="A416"/>
      <c r="B416"/>
      <c r="C416"/>
    </row>
    <row r="417" spans="1:3">
      <c r="A417"/>
      <c r="B417"/>
      <c r="C417"/>
    </row>
    <row r="418" spans="1:3">
      <c r="A418"/>
      <c r="B418"/>
      <c r="C418"/>
    </row>
    <row r="419" spans="1:3">
      <c r="A419"/>
      <c r="B419"/>
      <c r="C419"/>
    </row>
    <row r="420" spans="1:3">
      <c r="A420"/>
      <c r="B420"/>
      <c r="C420"/>
    </row>
    <row r="421" spans="1:3">
      <c r="A421"/>
      <c r="B421"/>
      <c r="C421"/>
    </row>
    <row r="422" spans="1:3">
      <c r="A422"/>
      <c r="B422"/>
      <c r="C422"/>
    </row>
    <row r="423" spans="1:3">
      <c r="A423"/>
      <c r="B423"/>
      <c r="C423"/>
    </row>
    <row r="424" spans="1:3">
      <c r="A424"/>
      <c r="B424"/>
      <c r="C424"/>
    </row>
    <row r="425" spans="1:3">
      <c r="A425"/>
      <c r="B425"/>
      <c r="C425"/>
    </row>
    <row r="426" spans="1:3">
      <c r="A426"/>
      <c r="B426"/>
      <c r="C426"/>
    </row>
    <row r="427" spans="1:3">
      <c r="A427"/>
      <c r="B427"/>
      <c r="C427"/>
    </row>
    <row r="428" spans="1:3">
      <c r="A428"/>
      <c r="B428"/>
      <c r="C428"/>
    </row>
    <row r="429" spans="1:3">
      <c r="A429"/>
      <c r="B429"/>
      <c r="C429"/>
    </row>
    <row r="430" spans="1:3">
      <c r="A430"/>
      <c r="B430"/>
      <c r="C430"/>
    </row>
    <row r="431" spans="1:3">
      <c r="A431"/>
      <c r="B431"/>
      <c r="C431"/>
    </row>
    <row r="432" spans="1:3">
      <c r="A432"/>
      <c r="B432"/>
      <c r="C432"/>
    </row>
    <row r="433" spans="1:3">
      <c r="A433"/>
      <c r="B433"/>
      <c r="C433"/>
    </row>
    <row r="434" spans="1:3">
      <c r="A434"/>
      <c r="B434"/>
      <c r="C434"/>
    </row>
    <row r="435" spans="1:3">
      <c r="A435"/>
      <c r="B435"/>
      <c r="C435"/>
    </row>
    <row r="436" spans="1:3">
      <c r="A436"/>
      <c r="B436"/>
      <c r="C436"/>
    </row>
    <row r="437" spans="1:3">
      <c r="A437"/>
      <c r="B437"/>
      <c r="C437"/>
    </row>
    <row r="438" spans="1:3">
      <c r="A438"/>
      <c r="B438"/>
      <c r="C438"/>
    </row>
    <row r="439" spans="1:3">
      <c r="A439"/>
      <c r="B439"/>
      <c r="C439"/>
    </row>
    <row r="440" spans="1:3">
      <c r="A440"/>
      <c r="B440"/>
      <c r="C440"/>
    </row>
    <row r="441" spans="1:3">
      <c r="A441"/>
      <c r="B441"/>
      <c r="C441"/>
    </row>
    <row r="442" spans="1:3">
      <c r="A442"/>
      <c r="B442"/>
      <c r="C442"/>
    </row>
    <row r="443" spans="1:3">
      <c r="A443"/>
      <c r="B443"/>
      <c r="C443"/>
    </row>
    <row r="444" spans="1:3">
      <c r="A444"/>
      <c r="B444"/>
      <c r="C444"/>
    </row>
    <row r="445" spans="1:3">
      <c r="A445"/>
      <c r="B445"/>
      <c r="C445"/>
    </row>
    <row r="446" spans="1:3">
      <c r="A446"/>
      <c r="B446"/>
      <c r="C446"/>
    </row>
    <row r="447" spans="1:3">
      <c r="A447"/>
      <c r="B447"/>
      <c r="C447"/>
    </row>
    <row r="448" spans="1:3">
      <c r="A448"/>
      <c r="B448"/>
      <c r="C448"/>
    </row>
    <row r="449" spans="1:3">
      <c r="A449"/>
      <c r="B449"/>
      <c r="C449"/>
    </row>
    <row r="450" spans="1:3">
      <c r="A450"/>
      <c r="B450"/>
      <c r="C450"/>
    </row>
    <row r="451" spans="1:3">
      <c r="A451"/>
      <c r="B451"/>
      <c r="C451"/>
    </row>
    <row r="452" spans="1:3">
      <c r="A452"/>
      <c r="B452"/>
      <c r="C452"/>
    </row>
    <row r="453" spans="1:3">
      <c r="A453"/>
      <c r="B453"/>
      <c r="C453"/>
    </row>
    <row r="454" spans="1:3">
      <c r="A454"/>
      <c r="B454"/>
      <c r="C454"/>
    </row>
    <row r="455" spans="1:3">
      <c r="A455"/>
      <c r="B455"/>
      <c r="C455"/>
    </row>
    <row r="456" spans="1:3">
      <c r="A456"/>
      <c r="B456"/>
      <c r="C456"/>
    </row>
    <row r="457" spans="1:3">
      <c r="A457"/>
      <c r="B457"/>
      <c r="C457"/>
    </row>
    <row r="458" spans="1:3">
      <c r="A458"/>
      <c r="B458"/>
      <c r="C458"/>
    </row>
    <row r="459" spans="1:3">
      <c r="A459"/>
      <c r="B459"/>
      <c r="C459"/>
    </row>
    <row r="460" spans="1:3">
      <c r="A460"/>
      <c r="B460"/>
      <c r="C460"/>
    </row>
    <row r="461" spans="1:3">
      <c r="A461"/>
      <c r="B461"/>
      <c r="C461"/>
    </row>
    <row r="462" spans="1:3">
      <c r="A462"/>
      <c r="B462"/>
      <c r="C462"/>
    </row>
    <row r="463" spans="1:3">
      <c r="A463"/>
      <c r="B463"/>
      <c r="C463"/>
    </row>
    <row r="464" spans="1:3">
      <c r="A464"/>
      <c r="B464"/>
      <c r="C464"/>
    </row>
    <row r="465" spans="1:3">
      <c r="A465"/>
      <c r="B465"/>
      <c r="C465"/>
    </row>
    <row r="466" spans="1:3">
      <c r="A466"/>
      <c r="B466"/>
      <c r="C466"/>
    </row>
    <row r="467" spans="1:3">
      <c r="A467"/>
      <c r="B467"/>
      <c r="C467"/>
    </row>
    <row r="468" spans="1:3">
      <c r="A468"/>
      <c r="B468"/>
      <c r="C468"/>
    </row>
    <row r="469" spans="1:3">
      <c r="A469"/>
      <c r="B469"/>
      <c r="C469"/>
    </row>
    <row r="470" spans="1:3">
      <c r="A470"/>
      <c r="B470"/>
      <c r="C470"/>
    </row>
    <row r="471" spans="1:3">
      <c r="A471"/>
      <c r="B471"/>
      <c r="C471"/>
    </row>
    <row r="472" spans="1:3">
      <c r="A472"/>
      <c r="B472"/>
      <c r="C472"/>
    </row>
    <row r="473" spans="1:3">
      <c r="A473"/>
      <c r="B473"/>
      <c r="C473"/>
    </row>
    <row r="474" spans="1:3">
      <c r="A474"/>
      <c r="B474"/>
      <c r="C474"/>
    </row>
    <row r="475" spans="1:3">
      <c r="A475"/>
      <c r="B475"/>
      <c r="C475"/>
    </row>
    <row r="476" spans="1:3">
      <c r="A476"/>
      <c r="B476"/>
      <c r="C476"/>
    </row>
    <row r="477" spans="1:3">
      <c r="A477"/>
      <c r="B477"/>
      <c r="C477"/>
    </row>
    <row r="478" spans="1:3">
      <c r="A478"/>
      <c r="B478"/>
      <c r="C478"/>
    </row>
    <row r="479" spans="1:3">
      <c r="A479"/>
      <c r="B479"/>
      <c r="C479"/>
    </row>
    <row r="480" spans="1:3">
      <c r="A480"/>
      <c r="B480"/>
      <c r="C480"/>
    </row>
    <row r="481" spans="1:3">
      <c r="A481"/>
      <c r="B481"/>
      <c r="C481"/>
    </row>
    <row r="482" spans="1:3">
      <c r="A482"/>
      <c r="B482"/>
      <c r="C482"/>
    </row>
    <row r="483" spans="1:3">
      <c r="A483"/>
      <c r="B483"/>
      <c r="C483"/>
    </row>
    <row r="484" spans="1:3">
      <c r="A484"/>
      <c r="B484"/>
      <c r="C484"/>
    </row>
    <row r="485" spans="1:3">
      <c r="A485"/>
      <c r="B485"/>
      <c r="C485"/>
    </row>
    <row r="486" spans="1:3">
      <c r="A486"/>
      <c r="B486"/>
      <c r="C486"/>
    </row>
    <row r="487" spans="1:3">
      <c r="A487"/>
      <c r="B487"/>
      <c r="C487"/>
    </row>
    <row r="488" spans="1:3">
      <c r="A488"/>
      <c r="B488"/>
      <c r="C488"/>
    </row>
    <row r="489" spans="1:3">
      <c r="A489"/>
      <c r="B489"/>
      <c r="C489"/>
    </row>
    <row r="490" spans="1:3">
      <c r="A490"/>
      <c r="B490"/>
      <c r="C490"/>
    </row>
    <row r="491" spans="1:3">
      <c r="A491"/>
      <c r="B491"/>
      <c r="C491"/>
    </row>
    <row r="492" spans="1:3">
      <c r="A492"/>
      <c r="B492"/>
      <c r="C492"/>
    </row>
    <row r="493" spans="1:3">
      <c r="A493"/>
      <c r="B493"/>
      <c r="C493"/>
    </row>
    <row r="494" spans="1:3">
      <c r="A494"/>
      <c r="B494"/>
      <c r="C494"/>
    </row>
    <row r="495" spans="1:3">
      <c r="A495"/>
      <c r="B495"/>
      <c r="C495"/>
    </row>
    <row r="496" spans="1:3">
      <c r="A496"/>
      <c r="B496"/>
      <c r="C496"/>
    </row>
    <row r="497" spans="1:3">
      <c r="A497"/>
      <c r="B497"/>
      <c r="C497"/>
    </row>
    <row r="498" spans="1:3">
      <c r="A498"/>
      <c r="B498"/>
      <c r="C498"/>
    </row>
    <row r="499" spans="1:3">
      <c r="A499"/>
      <c r="B499"/>
      <c r="C499"/>
    </row>
    <row r="500" spans="1:3">
      <c r="A500"/>
      <c r="B500"/>
      <c r="C50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A4B43-FCF0-4345-B0AF-1C13ED2E534E}">
  <sheetPr codeName="Sheet2"/>
  <dimension ref="A1:J10"/>
  <sheetViews>
    <sheetView workbookViewId="0">
      <selection activeCell="G28" sqref="G28"/>
    </sheetView>
  </sheetViews>
  <sheetFormatPr baseColWidth="10" defaultRowHeight="16"/>
  <sheetData>
    <row r="1" spans="1:10">
      <c r="A1">
        <v>7.7579641154646873E-3</v>
      </c>
      <c r="B1">
        <v>5.65618975795269E-3</v>
      </c>
      <c r="C1">
        <v>9.5583082351922993E-5</v>
      </c>
      <c r="D1">
        <v>3.9306103633689879E-3</v>
      </c>
      <c r="E1">
        <v>3.6995732817780972E-3</v>
      </c>
      <c r="F1">
        <v>5.3536444156312944E-3</v>
      </c>
      <c r="G1">
        <v>5.563019001495838E-3</v>
      </c>
      <c r="H1">
        <v>4.4066948586940762E-4</v>
      </c>
      <c r="I1">
        <v>2.1768578322768211E-4</v>
      </c>
      <c r="J1">
        <v>2.2671428836965561E-4</v>
      </c>
    </row>
    <row r="2" spans="1:10">
      <c r="A2">
        <v>7.41934E-3</v>
      </c>
      <c r="B2">
        <v>5.8064400000000004E-3</v>
      </c>
      <c r="C2">
        <v>6.4516000000000004E-5</v>
      </c>
      <c r="D2">
        <v>4.067420712500905E-3</v>
      </c>
      <c r="E2">
        <v>3.6643598884073406E-3</v>
      </c>
      <c r="F2">
        <v>5.1612799999999999E-3</v>
      </c>
      <c r="G2">
        <v>5.8064400000000004E-3</v>
      </c>
      <c r="H2">
        <v>1.1645035460417485E-4</v>
      </c>
      <c r="I2">
        <v>6.4516000000000004E-5</v>
      </c>
      <c r="J2">
        <v>6.4516000000000004E-5</v>
      </c>
    </row>
    <row r="3" spans="1:10">
      <c r="A3">
        <v>7.41934E-3</v>
      </c>
      <c r="B3">
        <v>5.8064337672487174E-3</v>
      </c>
      <c r="C3">
        <v>6.4516000000000004E-5</v>
      </c>
      <c r="D3">
        <v>3.8029574615726725E-3</v>
      </c>
      <c r="E3">
        <v>3.8709600000000001E-3</v>
      </c>
      <c r="F3">
        <v>5.1612836617200043E-3</v>
      </c>
      <c r="G3">
        <v>5.80643668689789E-3</v>
      </c>
      <c r="H3">
        <v>6.4516000000000004E-5</v>
      </c>
      <c r="I3">
        <v>6.4516000000000004E-5</v>
      </c>
      <c r="J3">
        <v>6.4518710818074209E-5</v>
      </c>
    </row>
    <row r="4" spans="1:10">
      <c r="A4">
        <v>7.41934E-3</v>
      </c>
      <c r="B4">
        <v>5.8064290509871243E-3</v>
      </c>
      <c r="C4">
        <v>6.4516000000000004E-5</v>
      </c>
      <c r="D4">
        <v>3.7785185153708092E-3</v>
      </c>
      <c r="E4">
        <v>3.8709593338013904E-3</v>
      </c>
      <c r="F4">
        <v>5.1612905049098204E-3</v>
      </c>
      <c r="G4">
        <v>5.8064296542157355E-3</v>
      </c>
      <c r="H4">
        <v>6.451654574756177E-5</v>
      </c>
      <c r="I4">
        <v>6.4516270123784103E-5</v>
      </c>
      <c r="J4">
        <v>6.4524889066168661E-5</v>
      </c>
    </row>
    <row r="5" spans="1:10">
      <c r="A5">
        <v>7.4193401087556147E-3</v>
      </c>
      <c r="B5">
        <v>5.8064266033814134E-3</v>
      </c>
      <c r="C5">
        <v>6.4516077541332002E-5</v>
      </c>
      <c r="D5">
        <v>3.76629934187106E-3</v>
      </c>
      <c r="E5">
        <v>3.8709586276126106E-3</v>
      </c>
      <c r="F5">
        <v>5.1612942025468893E-3</v>
      </c>
      <c r="G5">
        <v>5.8064258518139983E-3</v>
      </c>
      <c r="H5">
        <v>6.451687283369954E-5</v>
      </c>
      <c r="I5">
        <v>6.4516552482014107E-5</v>
      </c>
      <c r="J5">
        <v>6.4528068208852333E-5</v>
      </c>
    </row>
    <row r="6" spans="1:10">
      <c r="A6">
        <v>7.4193400365311305E-3</v>
      </c>
      <c r="B6">
        <v>5.8064400000000004E-3</v>
      </c>
      <c r="C6">
        <v>6.4516000000000004E-5</v>
      </c>
      <c r="D6">
        <v>3.7577010620483643E-3</v>
      </c>
      <c r="E6">
        <v>3.8709600000000001E-3</v>
      </c>
      <c r="F6">
        <v>5.1612979071603516E-3</v>
      </c>
      <c r="G6">
        <v>5.8064346676223056E-3</v>
      </c>
      <c r="H6">
        <v>6.4517754573597906E-5</v>
      </c>
      <c r="I6">
        <v>6.4517114603111796E-5</v>
      </c>
      <c r="J6">
        <v>6.4534463206404401E-5</v>
      </c>
    </row>
    <row r="7" spans="1:10">
      <c r="A7">
        <v>7.41934E-3</v>
      </c>
      <c r="B7">
        <v>5.8064307524024004E-3</v>
      </c>
      <c r="C7">
        <v>6.4516000000000004E-5</v>
      </c>
      <c r="D7">
        <v>3.7577013652495112E-3</v>
      </c>
      <c r="E7">
        <v>3.8709599945062297E-3</v>
      </c>
      <c r="F7">
        <v>5.161293865924353E-3</v>
      </c>
      <c r="G7">
        <v>5.806415787189761E-3</v>
      </c>
      <c r="H7">
        <v>6.4517722869819998E-5</v>
      </c>
      <c r="I7">
        <v>6.4516000000000004E-5</v>
      </c>
      <c r="J7">
        <v>6.4529497322201085E-5</v>
      </c>
    </row>
    <row r="8" spans="1:10">
      <c r="A8">
        <v>7.419340002925429E-3</v>
      </c>
      <c r="B8">
        <v>5.8064214973776963E-3</v>
      </c>
      <c r="C8">
        <v>6.4516003015644433E-5</v>
      </c>
      <c r="D8">
        <v>3.7577016665756593E-3</v>
      </c>
      <c r="E8">
        <v>3.8709599801418936E-3</v>
      </c>
      <c r="F8">
        <v>5.1612898266515375E-3</v>
      </c>
      <c r="G8">
        <v>5.8063969107324939E-3</v>
      </c>
      <c r="H8">
        <v>6.4517689232023822E-5</v>
      </c>
      <c r="I8">
        <v>6.451600088660694E-5</v>
      </c>
      <c r="J8">
        <v>6.4524538129470977E-5</v>
      </c>
    </row>
    <row r="9" spans="1:10">
      <c r="A9">
        <v>7.4193400095698275E-3</v>
      </c>
      <c r="B9">
        <v>5.8064122412881444E-3</v>
      </c>
      <c r="C9">
        <v>6.4516004476555889E-5</v>
      </c>
      <c r="D9">
        <v>3.7577019667953846E-3</v>
      </c>
      <c r="E9">
        <v>3.8709599683493402E-3</v>
      </c>
      <c r="F9">
        <v>5.1612857880813882E-3</v>
      </c>
      <c r="G9">
        <v>5.8063780339664946E-3</v>
      </c>
      <c r="H9">
        <v>6.4517656637203181E-5</v>
      </c>
      <c r="I9">
        <v>6.4516002511549728E-5</v>
      </c>
      <c r="J9">
        <v>6.4519579331786072E-5</v>
      </c>
    </row>
    <row r="10" spans="1:10">
      <c r="A10">
        <v>7.4193400162731685E-3</v>
      </c>
      <c r="B10">
        <v>5.8064029861283461E-3</v>
      </c>
      <c r="C10">
        <v>6.4516004422257703E-5</v>
      </c>
      <c r="D10">
        <v>3.7577022674033515E-3</v>
      </c>
      <c r="E10">
        <v>3.870959956613353E-3</v>
      </c>
      <c r="F10">
        <v>5.1612817488779182E-3</v>
      </c>
      <c r="G10">
        <v>5.8063591581447097E-3</v>
      </c>
      <c r="H10">
        <v>6.4517624302838856E-5</v>
      </c>
      <c r="I10">
        <v>6.451600459992411E-5</v>
      </c>
      <c r="J10">
        <v>6.4516000000000004E-5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5F36B-FD9C-664E-9813-91C365CE2150}">
  <sheetPr codeName="Sheet3"/>
  <dimension ref="A1:J10"/>
  <sheetViews>
    <sheetView workbookViewId="0">
      <selection activeCell="G26" sqref="G26"/>
    </sheetView>
  </sheetViews>
  <sheetFormatPr baseColWidth="10" defaultRowHeight="16"/>
  <sheetData>
    <row r="1" spans="1:10">
      <c r="A1">
        <v>7.8745310325694096E-3</v>
      </c>
      <c r="B1">
        <v>5.5054238406229018E-3</v>
      </c>
      <c r="C1">
        <v>4.0101000738453866E-4</v>
      </c>
      <c r="D1">
        <v>3.7351941191196441E-3</v>
      </c>
      <c r="E1">
        <v>3.6457823893630502E-3</v>
      </c>
      <c r="F1">
        <v>5.6611113228559494E-3</v>
      </c>
      <c r="G1">
        <v>5.1703236216187479E-3</v>
      </c>
      <c r="H1">
        <v>5.062255886859894E-4</v>
      </c>
      <c r="I1">
        <v>5.3744474333262439E-4</v>
      </c>
      <c r="J1">
        <v>4.7621460239076615E-4</v>
      </c>
    </row>
    <row r="2" spans="1:10">
      <c r="A2">
        <v>7.6413577371156321E-3</v>
      </c>
      <c r="B2">
        <v>5.8064400000000004E-3</v>
      </c>
      <c r="C2">
        <v>6.4516000000000004E-5</v>
      </c>
      <c r="D2">
        <v>4.1260190142260881E-3</v>
      </c>
      <c r="E2">
        <v>3.7532930696747009E-3</v>
      </c>
      <c r="F2">
        <v>5.1612799999999999E-3</v>
      </c>
      <c r="G2">
        <v>5.8064400000000004E-3</v>
      </c>
      <c r="H2">
        <v>3.7501278570417271E-4</v>
      </c>
      <c r="I2">
        <v>6.4516000000000004E-5</v>
      </c>
      <c r="J2">
        <v>6.4516000000000004E-5</v>
      </c>
    </row>
    <row r="3" spans="1:10">
      <c r="A3">
        <v>7.41934E-3</v>
      </c>
      <c r="B3">
        <v>5.8064400000000004E-3</v>
      </c>
      <c r="C3">
        <v>6.4516000000000004E-5</v>
      </c>
      <c r="D3">
        <v>3.9371487799010427E-3</v>
      </c>
      <c r="E3">
        <v>3.8076534905565032E-3</v>
      </c>
      <c r="F3">
        <v>5.1612799999999999E-3</v>
      </c>
      <c r="G3">
        <v>5.1612799999999999E-3</v>
      </c>
      <c r="H3">
        <v>5.9667886157715284E-4</v>
      </c>
      <c r="I3">
        <v>2.059951870826981E-4</v>
      </c>
      <c r="J3">
        <v>6.4515999999999998E-4</v>
      </c>
    </row>
    <row r="4" spans="1:10">
      <c r="A4">
        <v>7.41934E-3</v>
      </c>
      <c r="B4">
        <v>5.8064327880720029E-3</v>
      </c>
      <c r="C4">
        <v>6.4516000000000004E-5</v>
      </c>
      <c r="D4">
        <v>3.9168572985737379E-3</v>
      </c>
      <c r="E4">
        <v>3.8709600000000001E-3</v>
      </c>
      <c r="F4">
        <v>5.1612799999999999E-3</v>
      </c>
      <c r="G4">
        <v>5.8064343731011507E-3</v>
      </c>
      <c r="H4">
        <v>6.4516403413261716E-5</v>
      </c>
      <c r="I4">
        <v>6.4516000000000004E-5</v>
      </c>
      <c r="J4">
        <v>6.4520812978345789E-5</v>
      </c>
    </row>
    <row r="5" spans="1:10">
      <c r="A5">
        <v>7.4193400286671858E-3</v>
      </c>
      <c r="B5">
        <v>5.8064323391780089E-3</v>
      </c>
      <c r="C5">
        <v>6.4516116390366451E-5</v>
      </c>
      <c r="D5">
        <v>3.5483799999999999E-3</v>
      </c>
      <c r="E5">
        <v>3.8709587188010823E-3</v>
      </c>
      <c r="F5">
        <v>5.1613007747282232E-3</v>
      </c>
      <c r="G5">
        <v>5.806424885585592E-3</v>
      </c>
      <c r="H5">
        <v>6.451693427752907E-5</v>
      </c>
      <c r="I5">
        <v>6.45165390332905E-5</v>
      </c>
      <c r="J5">
        <v>6.4529888821935843E-5</v>
      </c>
    </row>
    <row r="6" spans="1:10">
      <c r="A6">
        <v>7.4193401007687934E-3</v>
      </c>
      <c r="B6">
        <v>5.8064227807692881E-3</v>
      </c>
      <c r="C6">
        <v>6.4516222215410817E-5</v>
      </c>
      <c r="D6">
        <v>3.984218801729539E-3</v>
      </c>
      <c r="E6">
        <v>3.8709581935757425E-3</v>
      </c>
      <c r="F6">
        <v>5.161285245928229E-3</v>
      </c>
      <c r="G6">
        <v>5.8064285073612509E-3</v>
      </c>
      <c r="H6">
        <v>6.4516547865289584E-5</v>
      </c>
      <c r="I6">
        <v>6.4516000000000004E-5</v>
      </c>
      <c r="J6">
        <v>6.4536448367355376E-5</v>
      </c>
    </row>
    <row r="7" spans="1:10">
      <c r="A7">
        <v>7.4193400482133699E-3</v>
      </c>
      <c r="B7">
        <v>5.8064400000000004E-3</v>
      </c>
      <c r="C7">
        <v>6.4516000000000004E-5</v>
      </c>
      <c r="D7">
        <v>3.5827720877527813E-3</v>
      </c>
      <c r="E7">
        <v>3.8709600000000001E-3</v>
      </c>
      <c r="F7">
        <v>5.161289987709974E-3</v>
      </c>
      <c r="G7">
        <v>5.8064400000000004E-3</v>
      </c>
      <c r="H7">
        <v>6.4517892005187439E-5</v>
      </c>
      <c r="I7">
        <v>6.4517621291868612E-5</v>
      </c>
      <c r="J7">
        <v>6.4516000000000004E-5</v>
      </c>
    </row>
    <row r="8" spans="1:10">
      <c r="A8">
        <v>7.4193400017209862E-3</v>
      </c>
      <c r="B8">
        <v>5.8064215034631314E-3</v>
      </c>
      <c r="C8">
        <v>6.4516000497823371E-5</v>
      </c>
      <c r="D8">
        <v>3.6918843584375408E-3</v>
      </c>
      <c r="E8">
        <v>3.8709600000000001E-3</v>
      </c>
      <c r="F8">
        <v>5.161307738494234E-3</v>
      </c>
      <c r="G8">
        <v>5.8063915811470065E-3</v>
      </c>
      <c r="H8">
        <v>6.4518949673459847E-5</v>
      </c>
      <c r="I8">
        <v>6.4516000000000004E-5</v>
      </c>
      <c r="J8">
        <v>6.4525073986454004E-5</v>
      </c>
    </row>
    <row r="9" spans="1:10">
      <c r="A9">
        <v>7.4193400095670494E-3</v>
      </c>
      <c r="B9">
        <v>5.8064122369236339E-3</v>
      </c>
      <c r="C9">
        <v>6.4516011000245382E-5</v>
      </c>
      <c r="D9">
        <v>3.6918846648257013E-3</v>
      </c>
      <c r="E9">
        <v>3.8709599889285348E-3</v>
      </c>
      <c r="F9">
        <v>5.1612996564885704E-3</v>
      </c>
      <c r="G9">
        <v>5.8063727192369423E-3</v>
      </c>
      <c r="H9">
        <v>6.4518799110637452E-5</v>
      </c>
      <c r="I9">
        <v>6.4516001441775658E-5</v>
      </c>
      <c r="J9">
        <v>6.452010325407559E-5</v>
      </c>
    </row>
    <row r="10" spans="1:10">
      <c r="A10">
        <v>7.4193400202650413E-3</v>
      </c>
      <c r="B10">
        <v>5.8064029705987069E-3</v>
      </c>
      <c r="C10">
        <v>6.451600963781289E-5</v>
      </c>
      <c r="D10">
        <v>3.6918849709987513E-3</v>
      </c>
      <c r="E10">
        <v>3.8709599797090411E-3</v>
      </c>
      <c r="F10">
        <v>5.161291575136907E-3</v>
      </c>
      <c r="G10">
        <v>5.8063538564445544E-3</v>
      </c>
      <c r="H10">
        <v>6.451864911907866E-5</v>
      </c>
      <c r="I10">
        <v>6.4516003009405839E-5</v>
      </c>
      <c r="J10">
        <v>6.4516000000000004E-5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Multiruns</vt:lpstr>
      <vt:lpstr>Global Best</vt:lpstr>
      <vt:lpstr>Global Best Function</vt:lpstr>
      <vt:lpstr>Functions</vt:lpstr>
      <vt:lpstr>Best Position</vt:lpstr>
      <vt:lpstr>Worst 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Ashley Marshall [mn14aem]</cp:lastModifiedBy>
  <dcterms:created xsi:type="dcterms:W3CDTF">2017-12-04T13:35:42Z</dcterms:created>
  <dcterms:modified xsi:type="dcterms:W3CDTF">2018-04-20T11:08:15Z</dcterms:modified>
</cp:coreProperties>
</file>